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9A285339-DB4B-4E0C-B16E-2084C91CDFC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Executive Summary" sheetId="1" r:id="rId1"/>
    <sheet name="Inputs &amp; Assumptions" sheetId="2" r:id="rId2"/>
    <sheet name="Historical WTI Data" sheetId="3" r:id="rId3"/>
    <sheet name="Hedge Calculations" sheetId="4" r:id="rId4"/>
    <sheet name="Stress Scenarios" sheetId="5" r:id="rId5"/>
  </sheets>
  <definedNames>
    <definedName name="_xlnm._FilterDatabase" localSheetId="3" hidden="1">'Hedge Calculations'!$A$13:$R$49</definedName>
    <definedName name="_xlnm._FilterDatabase" localSheetId="2" hidden="1">'Historical WTI Data'!$A$14:$D$500</definedName>
    <definedName name="ActualPct">'Inputs &amp; Assumptions'!$B$7</definedName>
    <definedName name="AnalysisEnd">'Inputs &amp; Assumptions'!$B$13</definedName>
    <definedName name="AnalysisStart">'Inputs &amp; Assumptions'!$B$12</definedName>
    <definedName name="BasisAssumed">'Inputs &amp; Assumptions'!$B$10</definedName>
    <definedName name="BasisLocked">'Inputs &amp; Assumptions'!$B$11</definedName>
    <definedName name="HedgePct">'Inputs &amp; Assumptions'!$B$8</definedName>
    <definedName name="ProdForecast">'Inputs &amp; Assumptions'!$B$6</definedName>
    <definedName name="SwapPrice">'Inputs &amp; Assumptions'!$B$9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5" l="1"/>
  <c r="F30" i="5"/>
  <c r="F29" i="5"/>
  <c r="F25" i="5"/>
  <c r="F24" i="5"/>
  <c r="F23" i="5"/>
  <c r="F22" i="5"/>
  <c r="F16" i="5"/>
  <c r="F21" i="5"/>
  <c r="F20" i="5"/>
  <c r="F19" i="5"/>
  <c r="F18" i="5"/>
  <c r="F17" i="5"/>
  <c r="F15" i="5"/>
  <c r="F14" i="5"/>
  <c r="F13" i="5"/>
  <c r="F12" i="5"/>
  <c r="F11" i="5"/>
  <c r="F10" i="5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E15" i="5"/>
  <c r="D15" i="5"/>
  <c r="C15" i="5"/>
  <c r="B15" i="5"/>
  <c r="E14" i="5"/>
  <c r="B7" i="5"/>
  <c r="B6" i="5"/>
  <c r="G49" i="4"/>
  <c r="E49" i="4"/>
  <c r="G48" i="4"/>
  <c r="E48" i="4"/>
  <c r="A48" i="4"/>
  <c r="B48" i="4" s="1"/>
  <c r="D48" i="4" s="1"/>
  <c r="G47" i="4"/>
  <c r="E47" i="4"/>
  <c r="G46" i="4"/>
  <c r="E46" i="4"/>
  <c r="G45" i="4"/>
  <c r="E45" i="4"/>
  <c r="A45" i="4"/>
  <c r="B45" i="4" s="1"/>
  <c r="G44" i="4"/>
  <c r="E44" i="4"/>
  <c r="G43" i="4"/>
  <c r="E43" i="4"/>
  <c r="A43" i="4"/>
  <c r="B43" i="4" s="1"/>
  <c r="D43" i="4" s="1"/>
  <c r="G42" i="4"/>
  <c r="E42" i="4"/>
  <c r="A42" i="4"/>
  <c r="B42" i="4" s="1"/>
  <c r="D42" i="4" s="1"/>
  <c r="G41" i="4"/>
  <c r="E41" i="4"/>
  <c r="H40" i="4"/>
  <c r="G40" i="4"/>
  <c r="E40" i="4"/>
  <c r="F40" i="4" s="1"/>
  <c r="G39" i="4"/>
  <c r="E39" i="4"/>
  <c r="A39" i="4"/>
  <c r="B39" i="4" s="1"/>
  <c r="D39" i="4" s="1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A31" i="4"/>
  <c r="B31" i="4" s="1"/>
  <c r="D31" i="4" s="1"/>
  <c r="G30" i="4"/>
  <c r="E30" i="4"/>
  <c r="G29" i="4"/>
  <c r="E29" i="4"/>
  <c r="A29" i="4"/>
  <c r="B29" i="4" s="1"/>
  <c r="D29" i="4" s="1"/>
  <c r="G28" i="4"/>
  <c r="E28" i="4"/>
  <c r="A28" i="4"/>
  <c r="B28" i="4" s="1"/>
  <c r="G27" i="4"/>
  <c r="F27" i="4"/>
  <c r="E27" i="4"/>
  <c r="H27" i="4" s="1"/>
  <c r="A27" i="4"/>
  <c r="B27" i="4" s="1"/>
  <c r="D27" i="4" s="1"/>
  <c r="G26" i="4"/>
  <c r="E26" i="4"/>
  <c r="A26" i="4"/>
  <c r="B26" i="4" s="1"/>
  <c r="D26" i="4" s="1"/>
  <c r="G25" i="4"/>
  <c r="E25" i="4"/>
  <c r="A25" i="4"/>
  <c r="B25" i="4" s="1"/>
  <c r="D25" i="4" s="1"/>
  <c r="G24" i="4"/>
  <c r="E24" i="4"/>
  <c r="A24" i="4"/>
  <c r="B24" i="4" s="1"/>
  <c r="D24" i="4" s="1"/>
  <c r="G23" i="4"/>
  <c r="E23" i="4"/>
  <c r="A23" i="4"/>
  <c r="B23" i="4" s="1"/>
  <c r="D23" i="4" s="1"/>
  <c r="G22" i="4"/>
  <c r="E22" i="4"/>
  <c r="A22" i="4"/>
  <c r="B22" i="4" s="1"/>
  <c r="D22" i="4" s="1"/>
  <c r="G21" i="4"/>
  <c r="E21" i="4"/>
  <c r="A21" i="4"/>
  <c r="B21" i="4" s="1"/>
  <c r="G20" i="4"/>
  <c r="E20" i="4"/>
  <c r="A20" i="4"/>
  <c r="B20" i="4" s="1"/>
  <c r="D20" i="4" s="1"/>
  <c r="G19" i="4"/>
  <c r="E19" i="4"/>
  <c r="A19" i="4"/>
  <c r="B19" i="4" s="1"/>
  <c r="D19" i="4" s="1"/>
  <c r="G18" i="4"/>
  <c r="E18" i="4"/>
  <c r="A18" i="4"/>
  <c r="B18" i="4" s="1"/>
  <c r="D18" i="4" s="1"/>
  <c r="G17" i="4"/>
  <c r="E17" i="4"/>
  <c r="G16" i="4"/>
  <c r="E16" i="4"/>
  <c r="G15" i="4"/>
  <c r="E15" i="4"/>
  <c r="G14" i="4"/>
  <c r="E14" i="4"/>
  <c r="A14" i="4"/>
  <c r="E12" i="1"/>
  <c r="D45" i="4" l="1"/>
  <c r="D28" i="4"/>
  <c r="D21" i="4"/>
  <c r="E16" i="5"/>
  <c r="D12" i="5"/>
  <c r="D14" i="5" s="1"/>
  <c r="D16" i="5" s="1"/>
  <c r="C12" i="5"/>
  <c r="C14" i="5" s="1"/>
  <c r="C16" i="5" s="1"/>
  <c r="B12" i="5"/>
  <c r="B14" i="5" s="1"/>
  <c r="B16" i="5" s="1"/>
  <c r="E11" i="5"/>
  <c r="E19" i="5" s="1"/>
  <c r="C11" i="5"/>
  <c r="C19" i="5" s="1"/>
  <c r="D11" i="5"/>
  <c r="D19" i="5" s="1"/>
  <c r="B11" i="5"/>
  <c r="B19" i="5" s="1"/>
  <c r="H49" i="4"/>
  <c r="F49" i="4"/>
  <c r="H48" i="4"/>
  <c r="F48" i="4"/>
  <c r="F47" i="4"/>
  <c r="H47" i="4"/>
  <c r="F46" i="4"/>
  <c r="H46" i="4"/>
  <c r="F45" i="4"/>
  <c r="H45" i="4"/>
  <c r="H44" i="4"/>
  <c r="F44" i="4"/>
  <c r="H43" i="4"/>
  <c r="F43" i="4"/>
  <c r="H42" i="4"/>
  <c r="F42" i="4"/>
  <c r="H41" i="4"/>
  <c r="F41" i="4"/>
  <c r="I40" i="4"/>
  <c r="N40" i="4"/>
  <c r="H39" i="4"/>
  <c r="F39" i="4"/>
  <c r="F38" i="4"/>
  <c r="H38" i="4"/>
  <c r="F37" i="4"/>
  <c r="H37" i="4"/>
  <c r="F36" i="4"/>
  <c r="H36" i="4"/>
  <c r="F35" i="4"/>
  <c r="H35" i="4"/>
  <c r="F34" i="4"/>
  <c r="H34" i="4"/>
  <c r="F33" i="4"/>
  <c r="H33" i="4"/>
  <c r="F32" i="4"/>
  <c r="H32" i="4"/>
  <c r="H31" i="4"/>
  <c r="F31" i="4"/>
  <c r="F30" i="4"/>
  <c r="H30" i="4"/>
  <c r="F29" i="4"/>
  <c r="H29" i="4"/>
  <c r="F28" i="4"/>
  <c r="H28" i="4"/>
  <c r="J27" i="4"/>
  <c r="I27" i="4"/>
  <c r="L27" i="4"/>
  <c r="N27" i="4"/>
  <c r="H26" i="4"/>
  <c r="F26" i="4"/>
  <c r="F25" i="4"/>
  <c r="H25" i="4"/>
  <c r="H24" i="4"/>
  <c r="F24" i="4"/>
  <c r="F23" i="4"/>
  <c r="H23" i="4"/>
  <c r="H22" i="4"/>
  <c r="F22" i="4"/>
  <c r="F21" i="4"/>
  <c r="H21" i="4"/>
  <c r="H20" i="4"/>
  <c r="F20" i="4"/>
  <c r="H19" i="4"/>
  <c r="F19" i="4"/>
  <c r="H18" i="4"/>
  <c r="F18" i="4"/>
  <c r="H17" i="4"/>
  <c r="F17" i="4"/>
  <c r="H16" i="4"/>
  <c r="F16" i="4"/>
  <c r="H15" i="4"/>
  <c r="F15" i="4"/>
  <c r="F14" i="4"/>
  <c r="H14" i="4"/>
  <c r="A30" i="4"/>
  <c r="B30" i="4" s="1"/>
  <c r="D30" i="4" s="1"/>
  <c r="A33" i="4"/>
  <c r="B33" i="4" s="1"/>
  <c r="D33" i="4" s="1"/>
  <c r="A37" i="4"/>
  <c r="B37" i="4" s="1"/>
  <c r="D37" i="4" s="1"/>
  <c r="B14" i="4"/>
  <c r="A15" i="4"/>
  <c r="B15" i="4" s="1"/>
  <c r="D15" i="4" s="1"/>
  <c r="A34" i="4"/>
  <c r="B34" i="4" s="1"/>
  <c r="D34" i="4" s="1"/>
  <c r="A40" i="4"/>
  <c r="B40" i="4" s="1"/>
  <c r="A35" i="4"/>
  <c r="B35" i="4" s="1"/>
  <c r="D35" i="4" s="1"/>
  <c r="A17" i="4"/>
  <c r="B17" i="4" s="1"/>
  <c r="D17" i="4" s="1"/>
  <c r="A47" i="4"/>
  <c r="B47" i="4" s="1"/>
  <c r="D47" i="4" s="1"/>
  <c r="A16" i="4"/>
  <c r="B16" i="4" s="1"/>
  <c r="D16" i="4" s="1"/>
  <c r="A41" i="4"/>
  <c r="B41" i="4" s="1"/>
  <c r="D41" i="4" s="1"/>
  <c r="A36" i="4"/>
  <c r="B36" i="4" s="1"/>
  <c r="D36" i="4" s="1"/>
  <c r="A44" i="4"/>
  <c r="B44" i="4" s="1"/>
  <c r="D44" i="4" s="1"/>
  <c r="A49" i="4"/>
  <c r="B49" i="4" s="1"/>
  <c r="D49" i="4" s="1"/>
  <c r="A38" i="4"/>
  <c r="B38" i="4" s="1"/>
  <c r="D38" i="4" s="1"/>
  <c r="A46" i="4"/>
  <c r="B46" i="4" s="1"/>
  <c r="D46" i="4" s="1"/>
  <c r="A32" i="4"/>
  <c r="B32" i="4" s="1"/>
  <c r="D32" i="4" s="1"/>
  <c r="N49" i="4" l="1"/>
  <c r="I49" i="4"/>
  <c r="L49" i="4"/>
  <c r="J49" i="4"/>
  <c r="L48" i="4"/>
  <c r="N48" i="4"/>
  <c r="I48" i="4"/>
  <c r="J48" i="4"/>
  <c r="J47" i="4"/>
  <c r="N47" i="4"/>
  <c r="I47" i="4"/>
  <c r="L47" i="4"/>
  <c r="J46" i="4"/>
  <c r="I46" i="4"/>
  <c r="L46" i="4"/>
  <c r="N46" i="4"/>
  <c r="J45" i="4"/>
  <c r="I45" i="4"/>
  <c r="L45" i="4"/>
  <c r="N45" i="4"/>
  <c r="I44" i="4"/>
  <c r="L44" i="4"/>
  <c r="N44" i="4"/>
  <c r="J44" i="4"/>
  <c r="I43" i="4"/>
  <c r="L43" i="4"/>
  <c r="N43" i="4"/>
  <c r="J43" i="4"/>
  <c r="I42" i="4"/>
  <c r="L42" i="4"/>
  <c r="N42" i="4"/>
  <c r="J42" i="4"/>
  <c r="I41" i="4"/>
  <c r="L41" i="4"/>
  <c r="N41" i="4"/>
  <c r="J41" i="4"/>
  <c r="I39" i="4"/>
  <c r="L39" i="4"/>
  <c r="N39" i="4"/>
  <c r="J39" i="4"/>
  <c r="J38" i="4"/>
  <c r="I38" i="4"/>
  <c r="L38" i="4"/>
  <c r="N38" i="4"/>
  <c r="J37" i="4"/>
  <c r="I37" i="4"/>
  <c r="L37" i="4"/>
  <c r="N37" i="4"/>
  <c r="J36" i="4"/>
  <c r="I36" i="4"/>
  <c r="L36" i="4"/>
  <c r="N36" i="4"/>
  <c r="J35" i="4"/>
  <c r="I35" i="4"/>
  <c r="L35" i="4"/>
  <c r="N35" i="4"/>
  <c r="J34" i="4"/>
  <c r="I34" i="4"/>
  <c r="L34" i="4"/>
  <c r="N34" i="4"/>
  <c r="J33" i="4"/>
  <c r="N33" i="4"/>
  <c r="I33" i="4"/>
  <c r="L33" i="4"/>
  <c r="J32" i="4"/>
  <c r="L32" i="4"/>
  <c r="N32" i="4"/>
  <c r="I32" i="4"/>
  <c r="L31" i="4"/>
  <c r="N31" i="4"/>
  <c r="I31" i="4"/>
  <c r="J31" i="4"/>
  <c r="J30" i="4"/>
  <c r="L30" i="4"/>
  <c r="I30" i="4"/>
  <c r="N30" i="4"/>
  <c r="J29" i="4"/>
  <c r="N29" i="4"/>
  <c r="L29" i="4"/>
  <c r="I29" i="4"/>
  <c r="J28" i="4"/>
  <c r="N28" i="4"/>
  <c r="I28" i="4"/>
  <c r="L28" i="4"/>
  <c r="O27" i="4"/>
  <c r="R27" i="4" s="1"/>
  <c r="K27" i="4"/>
  <c r="P27" i="4" s="1"/>
  <c r="M27" i="4"/>
  <c r="Q27" i="4" s="1"/>
  <c r="I26" i="4"/>
  <c r="N26" i="4"/>
  <c r="L26" i="4"/>
  <c r="J26" i="4"/>
  <c r="J25" i="4"/>
  <c r="N25" i="4"/>
  <c r="I25" i="4"/>
  <c r="L25" i="4"/>
  <c r="L24" i="4"/>
  <c r="N24" i="4"/>
  <c r="I24" i="4"/>
  <c r="J24" i="4"/>
  <c r="J23" i="4"/>
  <c r="I23" i="4"/>
  <c r="L23" i="4"/>
  <c r="N23" i="4"/>
  <c r="I22" i="4"/>
  <c r="N22" i="4"/>
  <c r="L22" i="4"/>
  <c r="J22" i="4"/>
  <c r="J21" i="4"/>
  <c r="I21" i="4"/>
  <c r="L21" i="4"/>
  <c r="N21" i="4"/>
  <c r="L20" i="4"/>
  <c r="N20" i="4"/>
  <c r="I20" i="4"/>
  <c r="J20" i="4"/>
  <c r="N19" i="4"/>
  <c r="I19" i="4"/>
  <c r="L19" i="4"/>
  <c r="J19" i="4"/>
  <c r="N18" i="4"/>
  <c r="I18" i="4"/>
  <c r="L18" i="4"/>
  <c r="J18" i="4"/>
  <c r="I17" i="4"/>
  <c r="L17" i="4"/>
  <c r="N17" i="4"/>
  <c r="J17" i="4"/>
  <c r="I16" i="4"/>
  <c r="L16" i="4"/>
  <c r="N16" i="4"/>
  <c r="J16" i="4"/>
  <c r="I15" i="4"/>
  <c r="L15" i="4"/>
  <c r="N15" i="4"/>
  <c r="J15" i="4"/>
  <c r="I14" i="4"/>
  <c r="L14" i="4"/>
  <c r="N14" i="4"/>
  <c r="D14" i="4"/>
  <c r="J14" i="4" s="1"/>
  <c r="B5" i="5"/>
  <c r="D40" i="4"/>
  <c r="J40" i="4" s="1"/>
  <c r="L40" i="4"/>
  <c r="K49" i="4" l="1"/>
  <c r="P49" i="4" s="1"/>
  <c r="M49" i="4"/>
  <c r="Q49" i="4" s="1"/>
  <c r="O49" i="4"/>
  <c r="R49" i="4" s="1"/>
  <c r="K48" i="4"/>
  <c r="P48" i="4" s="1"/>
  <c r="M48" i="4"/>
  <c r="Q48" i="4" s="1"/>
  <c r="O48" i="4"/>
  <c r="R48" i="4" s="1"/>
  <c r="K47" i="4"/>
  <c r="P47" i="4" s="1"/>
  <c r="M47" i="4"/>
  <c r="Q47" i="4" s="1"/>
  <c r="O47" i="4"/>
  <c r="R47" i="4" s="1"/>
  <c r="K46" i="4"/>
  <c r="P46" i="4" s="1"/>
  <c r="M46" i="4"/>
  <c r="Q46" i="4" s="1"/>
  <c r="O46" i="4"/>
  <c r="R46" i="4" s="1"/>
  <c r="K45" i="4"/>
  <c r="P45" i="4" s="1"/>
  <c r="M45" i="4"/>
  <c r="Q45" i="4" s="1"/>
  <c r="O45" i="4"/>
  <c r="R45" i="4" s="1"/>
  <c r="K44" i="4"/>
  <c r="P44" i="4" s="1"/>
  <c r="M44" i="4"/>
  <c r="Q44" i="4" s="1"/>
  <c r="O44" i="4"/>
  <c r="R44" i="4" s="1"/>
  <c r="K43" i="4"/>
  <c r="P43" i="4" s="1"/>
  <c r="M43" i="4"/>
  <c r="Q43" i="4" s="1"/>
  <c r="O43" i="4"/>
  <c r="R43" i="4" s="1"/>
  <c r="K42" i="4"/>
  <c r="P42" i="4" s="1"/>
  <c r="M42" i="4"/>
  <c r="Q42" i="4" s="1"/>
  <c r="O42" i="4"/>
  <c r="R42" i="4" s="1"/>
  <c r="K41" i="4"/>
  <c r="P41" i="4" s="1"/>
  <c r="M41" i="4"/>
  <c r="Q41" i="4" s="1"/>
  <c r="O41" i="4"/>
  <c r="R41" i="4" s="1"/>
  <c r="K39" i="4"/>
  <c r="P39" i="4" s="1"/>
  <c r="M39" i="4"/>
  <c r="Q39" i="4" s="1"/>
  <c r="O39" i="4"/>
  <c r="R39" i="4" s="1"/>
  <c r="K38" i="4"/>
  <c r="P38" i="4" s="1"/>
  <c r="M38" i="4"/>
  <c r="Q38" i="4" s="1"/>
  <c r="O38" i="4"/>
  <c r="R38" i="4" s="1"/>
  <c r="K37" i="4"/>
  <c r="P37" i="4" s="1"/>
  <c r="M37" i="4"/>
  <c r="Q37" i="4" s="1"/>
  <c r="O37" i="4"/>
  <c r="R37" i="4" s="1"/>
  <c r="K36" i="4"/>
  <c r="P36" i="4" s="1"/>
  <c r="M36" i="4"/>
  <c r="Q36" i="4" s="1"/>
  <c r="O36" i="4"/>
  <c r="R36" i="4" s="1"/>
  <c r="K35" i="4"/>
  <c r="P35" i="4" s="1"/>
  <c r="M35" i="4"/>
  <c r="Q35" i="4" s="1"/>
  <c r="O35" i="4"/>
  <c r="R35" i="4" s="1"/>
  <c r="K34" i="4"/>
  <c r="P34" i="4" s="1"/>
  <c r="M34" i="4"/>
  <c r="Q34" i="4" s="1"/>
  <c r="O34" i="4"/>
  <c r="R34" i="4" s="1"/>
  <c r="O33" i="4"/>
  <c r="R33" i="4" s="1"/>
  <c r="K33" i="4"/>
  <c r="P33" i="4" s="1"/>
  <c r="M33" i="4"/>
  <c r="Q33" i="4" s="1"/>
  <c r="M32" i="4"/>
  <c r="Q32" i="4" s="1"/>
  <c r="K32" i="4"/>
  <c r="P32" i="4" s="1"/>
  <c r="O32" i="4"/>
  <c r="R32" i="4" s="1"/>
  <c r="K31" i="4"/>
  <c r="P31" i="4" s="1"/>
  <c r="O31" i="4"/>
  <c r="R31" i="4" s="1"/>
  <c r="M31" i="4"/>
  <c r="Q31" i="4" s="1"/>
  <c r="K30" i="4"/>
  <c r="P30" i="4" s="1"/>
  <c r="O30" i="4"/>
  <c r="R30" i="4" s="1"/>
  <c r="M30" i="4"/>
  <c r="Q30" i="4" s="1"/>
  <c r="M29" i="4"/>
  <c r="Q29" i="4" s="1"/>
  <c r="K29" i="4"/>
  <c r="P29" i="4" s="1"/>
  <c r="O29" i="4"/>
  <c r="R29" i="4" s="1"/>
  <c r="M28" i="4"/>
  <c r="Q28" i="4" s="1"/>
  <c r="O28" i="4"/>
  <c r="R28" i="4" s="1"/>
  <c r="K28" i="4"/>
  <c r="P28" i="4" s="1"/>
  <c r="O26" i="4"/>
  <c r="R26" i="4" s="1"/>
  <c r="K26" i="4"/>
  <c r="P26" i="4" s="1"/>
  <c r="M26" i="4"/>
  <c r="Q26" i="4" s="1"/>
  <c r="K25" i="4"/>
  <c r="P25" i="4" s="1"/>
  <c r="O25" i="4"/>
  <c r="R25" i="4" s="1"/>
  <c r="M25" i="4"/>
  <c r="Q25" i="4" s="1"/>
  <c r="M24" i="4"/>
  <c r="Q24" i="4" s="1"/>
  <c r="K24" i="4"/>
  <c r="P24" i="4" s="1"/>
  <c r="O24" i="4"/>
  <c r="R24" i="4" s="1"/>
  <c r="O23" i="4"/>
  <c r="R23" i="4" s="1"/>
  <c r="M23" i="4"/>
  <c r="Q23" i="4" s="1"/>
  <c r="K23" i="4"/>
  <c r="P23" i="4" s="1"/>
  <c r="M22" i="4"/>
  <c r="Q22" i="4" s="1"/>
  <c r="O22" i="4"/>
  <c r="R22" i="4" s="1"/>
  <c r="K22" i="4"/>
  <c r="P22" i="4" s="1"/>
  <c r="K21" i="4"/>
  <c r="P21" i="4" s="1"/>
  <c r="M21" i="4"/>
  <c r="Q21" i="4" s="1"/>
  <c r="O21" i="4"/>
  <c r="R21" i="4" s="1"/>
  <c r="M20" i="4"/>
  <c r="Q20" i="4" s="1"/>
  <c r="K20" i="4"/>
  <c r="P20" i="4" s="1"/>
  <c r="O20" i="4"/>
  <c r="R20" i="4" s="1"/>
  <c r="M19" i="4"/>
  <c r="Q19" i="4" s="1"/>
  <c r="K19" i="4"/>
  <c r="P19" i="4" s="1"/>
  <c r="O19" i="4"/>
  <c r="R19" i="4" s="1"/>
  <c r="K18" i="4"/>
  <c r="P18" i="4" s="1"/>
  <c r="M18" i="4"/>
  <c r="Q18" i="4" s="1"/>
  <c r="O18" i="4"/>
  <c r="R18" i="4" s="1"/>
  <c r="K17" i="4"/>
  <c r="P17" i="4" s="1"/>
  <c r="M17" i="4"/>
  <c r="Q17" i="4" s="1"/>
  <c r="O17" i="4"/>
  <c r="R17" i="4" s="1"/>
  <c r="K16" i="4"/>
  <c r="P16" i="4" s="1"/>
  <c r="M16" i="4"/>
  <c r="Q16" i="4" s="1"/>
  <c r="O16" i="4"/>
  <c r="R16" i="4" s="1"/>
  <c r="K15" i="4"/>
  <c r="P15" i="4" s="1"/>
  <c r="M15" i="4"/>
  <c r="Q15" i="4" s="1"/>
  <c r="O15" i="4"/>
  <c r="R15" i="4" s="1"/>
  <c r="K14" i="4"/>
  <c r="M14" i="4"/>
  <c r="O14" i="4"/>
  <c r="C11" i="4"/>
  <c r="D11" i="4"/>
  <c r="C10" i="4"/>
  <c r="E13" i="1" s="1"/>
  <c r="D10" i="4"/>
  <c r="E10" i="5"/>
  <c r="D10" i="5"/>
  <c r="B10" i="5"/>
  <c r="C10" i="5"/>
  <c r="O40" i="4"/>
  <c r="R40" i="4" s="1"/>
  <c r="M40" i="4"/>
  <c r="Q40" i="4" s="1"/>
  <c r="K40" i="4"/>
  <c r="P40" i="4" s="1"/>
  <c r="P14" i="4" l="1"/>
  <c r="B6" i="4" s="1"/>
  <c r="B12" i="1" s="1"/>
  <c r="B7" i="4"/>
  <c r="C12" i="1" s="1"/>
  <c r="B8" i="4"/>
  <c r="D12" i="1" s="1"/>
  <c r="B9" i="4"/>
  <c r="F12" i="1" s="1"/>
  <c r="Q14" i="4"/>
  <c r="C6" i="4" s="1"/>
  <c r="B13" i="1" s="1"/>
  <c r="C7" i="4"/>
  <c r="C13" i="1" s="1"/>
  <c r="C8" i="4"/>
  <c r="D13" i="1" s="1"/>
  <c r="C9" i="4"/>
  <c r="R14" i="4"/>
  <c r="D6" i="4" s="1"/>
  <c r="D7" i="4"/>
  <c r="C14" i="1" s="1"/>
  <c r="D8" i="4"/>
  <c r="D14" i="1" s="1"/>
  <c r="D9" i="4"/>
  <c r="F14" i="1" s="1"/>
  <c r="B23" i="2"/>
  <c r="E14" i="1"/>
  <c r="B22" i="2"/>
  <c r="E18" i="5"/>
  <c r="E13" i="5"/>
  <c r="E17" i="5" s="1"/>
  <c r="D18" i="5"/>
  <c r="D13" i="5"/>
  <c r="D17" i="5" s="1"/>
  <c r="B18" i="5"/>
  <c r="B13" i="5"/>
  <c r="B17" i="5" s="1"/>
  <c r="C18" i="5"/>
  <c r="C13" i="5"/>
  <c r="C17" i="5" s="1"/>
  <c r="B21" i="2" l="1"/>
  <c r="B14" i="1"/>
  <c r="E22" i="5"/>
  <c r="E20" i="5"/>
  <c r="E21" i="5"/>
  <c r="D22" i="5"/>
  <c r="D20" i="5"/>
  <c r="D21" i="5"/>
  <c r="B21" i="5"/>
  <c r="B22" i="5"/>
  <c r="B20" i="5"/>
  <c r="C22" i="5"/>
  <c r="C21" i="5"/>
  <c r="C20" i="5"/>
  <c r="F13" i="1"/>
  <c r="E25" i="5" l="1"/>
  <c r="E31" i="5"/>
  <c r="E23" i="5"/>
  <c r="E29" i="5"/>
  <c r="E24" i="5"/>
  <c r="E30" i="5"/>
  <c r="D25" i="5"/>
  <c r="D31" i="5"/>
  <c r="D23" i="5"/>
  <c r="D29" i="5"/>
  <c r="D24" i="5"/>
  <c r="D30" i="5"/>
  <c r="B24" i="5"/>
  <c r="B30" i="5"/>
  <c r="B25" i="5"/>
  <c r="B31" i="5"/>
  <c r="B23" i="5"/>
  <c r="B29" i="5"/>
  <c r="C25" i="5"/>
  <c r="C31" i="5"/>
  <c r="C24" i="5"/>
  <c r="C30" i="5"/>
  <c r="C23" i="5"/>
  <c r="C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8" authorId="0" shapeId="0" xr:uid="{00000000-0006-0000-0100-000001000000}">
      <text>
        <r>
          <rPr>
            <sz val="10"/>
            <rFont val="Arial"/>
            <family val="2"/>
          </rPr>
          <t>Hedging less than 100% of forecast production leaves some volume unhedged and reduces the risk of over-hedging if production falls short.</t>
        </r>
      </text>
    </comment>
    <comment ref="B10" authorId="0" shapeId="0" xr:uid="{00000000-0006-0000-0100-000002000000}">
      <text>
        <r>
          <rPr>
            <sz val="10"/>
            <rFont val="Arial"/>
            <family val="2"/>
          </rPr>
          <t>Midland-Cushing basis is a model assumption, not a market quote. A more-negative basis means Midland crude sells below Cushing WTI.</t>
        </r>
      </text>
    </comment>
  </commentList>
</comments>
</file>

<file path=xl/sharedStrings.xml><?xml version="1.0" encoding="utf-8"?>
<sst xmlns="http://schemas.openxmlformats.org/spreadsheetml/2006/main" count="671" uniqueCount="162">
  <si>
    <t>Permian Crude Producer Hedge &amp; Basis Risk Model</t>
  </si>
  <si>
    <t>Educational / student research project. Simplified hedge comparison for a hypothetical Permian Basin crude producer -- not financial advice.</t>
  </si>
  <si>
    <t>Purpose:</t>
  </si>
  <si>
    <t>Show how WTI benchmark price risk, Midland-Cushing basis risk, and production volume uncertainty affect a Permian producer's revenue, and how basic hedge strategies change that exposure.</t>
  </si>
  <si>
    <t>Core question:</t>
  </si>
  <si>
    <t>How do WTI prices, Midland basis, and production uncertainty affect a Permian producer's revenue, and how do basic hedge strategies change that exposure?</t>
  </si>
  <si>
    <t>Disclosure:</t>
  </si>
  <si>
    <t>The producer, production volumes, hedge percentages, swap price, and basis levels used here are entirely hypothetical and illustrative. Only the WTI Cushing spot price history is real, public EIA data.</t>
  </si>
  <si>
    <t>Strategy Comparison</t>
  </si>
  <si>
    <t>Strategy</t>
  </si>
  <si>
    <t>Avg. Net Realized Price ($/bbl)</t>
  </si>
  <si>
    <t>Avg. Monthly Net Revenue ($)</t>
  </si>
  <si>
    <t>Worst Monthly Net Revenue ($)</t>
  </si>
  <si>
    <t>Total Hedge P&amp;L ($)</t>
  </si>
  <si>
    <t>Revenue Range ($)</t>
  </si>
  <si>
    <t>Over-Hedged Volume (bbl)</t>
  </si>
  <si>
    <t>Unhedged</t>
  </si>
  <si>
    <t>WTI Fixed-Price Swap</t>
  </si>
  <si>
    <t>WTI Swap + Midland Basis Hedge</t>
  </si>
  <si>
    <t>Key Findings</t>
  </si>
  <si>
    <t>- The WTI fixed-price swap tracks the benchmark closely, cutting the swing in net realized price that comes from WTI moving up or down.</t>
  </si>
  <si>
    <t>- Midland basis risk is not addressed by the WTI swap alone; only the combined strategy responds when the Midland discount widens or narrows.</t>
  </si>
  <si>
    <t>- Because the hedge is sized to forecast production, a production shortfall can leave part of the hedge unmatched by physical barrels (over-hedged volume).</t>
  </si>
  <si>
    <t>Main Remaining Risk by Strategy</t>
  </si>
  <si>
    <t>Main Remaining Risk</t>
  </si>
  <si>
    <t>Full exposure to both WTI price moves and Midland basis moves.</t>
  </si>
  <si>
    <t>Midland basis risk remains; a wider discount still lowers realized price.</t>
  </si>
  <si>
    <t>WTI Swap + Basis Hedge</t>
  </si>
  <si>
    <t>Production-volume risk remains; a shortfall can create over-hedged volume.</t>
  </si>
  <si>
    <t>Conclusion</t>
  </si>
  <si>
    <t>Under the selected assumptions, the WTI swap reduces benchmark-price exposure, while the combined swap and basis hedge creates greater revenue stability. Production uncertainty remains important because hedging forecast volumes can create over-hedging. This is an educational, illustrative comparison, not a professional recommendation or an optimal hedge.</t>
  </si>
  <si>
    <t>Inputs &amp; Assumptions</t>
  </si>
  <si>
    <t>Hypothetical Permian Basin producer. All figures below are illustrative model assumptions, not current market quotes or a real hedge program.</t>
  </si>
  <si>
    <t>Illustrative Assumptions (edit the highlighted cells)</t>
  </si>
  <si>
    <t>Assumption</t>
  </si>
  <si>
    <t>Value</t>
  </si>
  <si>
    <t>Units</t>
  </si>
  <si>
    <t>Notes</t>
  </si>
  <si>
    <t>Monthly forecast production</t>
  </si>
  <si>
    <t>bbl/mo</t>
  </si>
  <si>
    <t>Planned monthly production for the hypothetical producer.</t>
  </si>
  <si>
    <t>Actual production (% of forecast)</t>
  </si>
  <si>
    <t>%</t>
  </si>
  <si>
    <t>Illustrative production variance vs. forecast.</t>
  </si>
  <si>
    <t>Hedge percentage</t>
  </si>
  <si>
    <t>Share of forecast production hedged with the WTI swap.</t>
  </si>
  <si>
    <t>Fixed WTI swap price</t>
  </si>
  <si>
    <t>$/bbl</t>
  </si>
  <si>
    <t>Illustrative fixed price on the WTI swap.</t>
  </si>
  <si>
    <t>Assumed Midland-Cushing basis</t>
  </si>
  <si>
    <t>Illustrative differential; not a live market quote.</t>
  </si>
  <si>
    <t>Locked Midland-Cushing basis level</t>
  </si>
  <si>
    <t>Basis level locked in by the basis hedge.</t>
  </si>
  <si>
    <t>Analysis start date</t>
  </si>
  <si>
    <t>date</t>
  </si>
  <si>
    <t>First month of the hedge comparison.</t>
  </si>
  <si>
    <t>Analysis end date</t>
  </si>
  <si>
    <t>Last month of the hedge comparison.</t>
  </si>
  <si>
    <t>Observed Data</t>
  </si>
  <si>
    <t>Item</t>
  </si>
  <si>
    <t>Historical WTI Cushing price</t>
  </si>
  <si>
    <t>See 'Historical WTI Data' tab</t>
  </si>
  <si>
    <t>Real monthly-average data published by the EIA.</t>
  </si>
  <si>
    <t>Calculated Outputs (see 'Hedge Calculations' tab)</t>
  </si>
  <si>
    <t>Output</t>
  </si>
  <si>
    <t>Avg. net realized price, combined strategy</t>
  </si>
  <si>
    <t>Average across the analysis window.</t>
  </si>
  <si>
    <t>Total hedge P&amp;L, combined strategy</t>
  </si>
  <si>
    <t>$</t>
  </si>
  <si>
    <t>WTI swap P&amp;L plus basis hedge P&amp;L, summed.</t>
  </si>
  <si>
    <t>Total over-hedged volume</t>
  </si>
  <si>
    <t>bbl</t>
  </si>
  <si>
    <t>Hedged volume exceeding actual production, summed.</t>
  </si>
  <si>
    <t>Historical WTI Data</t>
  </si>
  <si>
    <t>Source data used to drive the hedge model below.</t>
  </si>
  <si>
    <t>Series name:</t>
  </si>
  <si>
    <t>Cushing, OK WTI Spot Price FOB (RWTC)</t>
  </si>
  <si>
    <t>Source:</t>
  </si>
  <si>
    <t>U.S. Energy Information Administration (EIA)</t>
  </si>
  <si>
    <t>Units:</t>
  </si>
  <si>
    <t>Dollars per barrel ($/bbl)</t>
  </si>
  <si>
    <t>Original frequency:</t>
  </si>
  <si>
    <t>Daily (aggregated by EIA to a monthly average)</t>
  </si>
  <si>
    <t>Aggregation method:</t>
  </si>
  <si>
    <t>EIA daily spot prices aggregated to a simple monthly average.</t>
  </si>
  <si>
    <t>Frequency used in workbook:</t>
  </si>
  <si>
    <t>Monthly average</t>
  </si>
  <si>
    <t>Date range:</t>
  </si>
  <si>
    <t>January 1986 - June 2026</t>
  </si>
  <si>
    <t>Retrieval date:</t>
  </si>
  <si>
    <t>2026-07-14</t>
  </si>
  <si>
    <t>Source citation:</t>
  </si>
  <si>
    <t>U.S. Energy Information Administration (EIA) - https://www.eia.gov/dnav/pet/hist/RWTCM.htm</t>
  </si>
  <si>
    <t>Month</t>
  </si>
  <si>
    <t>WTI Cushing Price ($/bbl)</t>
  </si>
  <si>
    <t>Source</t>
  </si>
  <si>
    <t>Hedge Calculations</t>
  </si>
  <si>
    <t>Monthly, formula-driven comparison of the three strategies over the analysis window.</t>
  </si>
  <si>
    <t>Summary Metrics</t>
  </si>
  <si>
    <t>Metric</t>
  </si>
  <si>
    <t>WTI Swap</t>
  </si>
  <si>
    <t>Combined (Swap + Basis Hedge)</t>
  </si>
  <si>
    <t>Average net realized price ($/bbl)</t>
  </si>
  <si>
    <t>Average monthly net revenue ($)</t>
  </si>
  <si>
    <t>Minimum monthly net revenue ($)</t>
  </si>
  <si>
    <t>Maximum monthly net revenue ($)</t>
  </si>
  <si>
    <t>Total hedge P&amp;L ($)</t>
  </si>
  <si>
    <t>Total over-hedged volume (bbl)</t>
  </si>
  <si>
    <t>Date</t>
  </si>
  <si>
    <t>Assumed Midland Basis ($/bbl)</t>
  </si>
  <si>
    <t>Midland Physical Price ($/bbl)</t>
  </si>
  <si>
    <t>Forecast Production (bbl)</t>
  </si>
  <si>
    <t>Actual Production (bbl)</t>
  </si>
  <si>
    <t>Hedge %</t>
  </si>
  <si>
    <t>Hedged Volume (bbl)</t>
  </si>
  <si>
    <t>Physical Revenue ($)</t>
  </si>
  <si>
    <t>Unhedged Net Revenue ($)</t>
  </si>
  <si>
    <t>WTI Swap P&amp;L ($)</t>
  </si>
  <si>
    <t>WTI Swap Net Revenue ($)</t>
  </si>
  <si>
    <t>Basis Hedge P&amp;L ($)</t>
  </si>
  <si>
    <t>Combined Net Revenue ($)</t>
  </si>
  <si>
    <t>Unhedged Net Realized Price ($/bbl)</t>
  </si>
  <si>
    <t>WTI Swap Net Realized Price ($/bbl)</t>
  </si>
  <si>
    <t>Combined Net Realized Price ($/bbl)</t>
  </si>
  <si>
    <t>Stress Scenarios</t>
  </si>
  <si>
    <t>Each scenario applies a single shock to the base-case assumptions. The base case uses the average WTI price actually observed over the analysis window.</t>
  </si>
  <si>
    <t>Base Case Reference Values</t>
  </si>
  <si>
    <t>Base WTI Cushing price ($/bbl)</t>
  </si>
  <si>
    <t>Base Midland basis ($/bbl)</t>
  </si>
  <si>
    <t>Base actual production (% of forecast)</t>
  </si>
  <si>
    <t>Base Case</t>
  </si>
  <si>
    <t>A: WTI Price Decline (-$15/bbl)</t>
  </si>
  <si>
    <t>B: Midland Basis Weakening (-$5/bbl)</t>
  </si>
  <si>
    <t>C: Production Shortfall (80% of Forecast)</t>
  </si>
  <si>
    <t>WTI Cushing price ($/bbl)</t>
  </si>
  <si>
    <t>Midland basis ($/bbl)</t>
  </si>
  <si>
    <t>Midland physical price ($/bbl)</t>
  </si>
  <si>
    <t>Actual production (bbl)</t>
  </si>
  <si>
    <t>Hedged volume (bbl)</t>
  </si>
  <si>
    <t>Over-hedged volume (bbl)</t>
  </si>
  <si>
    <t>Physical revenue ($)</t>
  </si>
  <si>
    <t>WTI swap P&amp;L ($)</t>
  </si>
  <si>
    <t>Basis hedge P&amp;L ($)</t>
  </si>
  <si>
    <t>Unhedged net revenue ($)</t>
  </si>
  <si>
    <t>WTI swap net revenue ($)</t>
  </si>
  <si>
    <t>Combined net revenue ($)</t>
  </si>
  <si>
    <t>Unhedged net realized price ($/bbl)</t>
  </si>
  <si>
    <t>WTI swap net realized price ($/bbl)</t>
  </si>
  <si>
    <t>Combined net realized price ($/bbl)</t>
  </si>
  <si>
    <t>Change from Base Case ($)</t>
  </si>
  <si>
    <t>A: WTI Decline</t>
  </si>
  <si>
    <t>B: Basis Weakening</t>
  </si>
  <si>
    <t>C: Production Shortfall</t>
  </si>
  <si>
    <t>Change in unhedged net revenue</t>
  </si>
  <si>
    <t>Change in WTI swap net revenue</t>
  </si>
  <si>
    <t>Change in combined net revenue</t>
  </si>
  <si>
    <t>Scenario A (WTI decline): the WTI swap gains on hedged volume as WTI falls, offsetting most of the benchmark-price loss on the hedged share of production.</t>
  </si>
  <si>
    <t>Scenario B (basis weakening): the WTI swap alone does not respond to basis, so unhedged and WTI-swap revenue both fall by the same amount. Only the combined strategy's basis hedge offsets the widening discount.</t>
  </si>
  <si>
    <t>Scenario C (production shortfall): hedged volume is fixed to forecast production, so when actual production falls short, part of the hedge is no longer backed by physical barrels (over-hedged volume), which can amplify swings in net realized price.</t>
  </si>
  <si>
    <t>D: Midland Basis Strengthening (+0.75/bbl</t>
  </si>
  <si>
    <t>Scenario D (basis strengthening): the basis hedge, locked at -$1.00, now works against the producer as the actual discount narrows to -$0.75 — the combined strategy underperforms the WTI-only swap here, illustrating that a basis hedge is a directional bet, not a one-way protection</t>
  </si>
  <si>
    <t>- The combined strategy is not a one-way win: it outperforms when Midland basis widens (base case, Stress B), but underperforms the WTI-only swap when the basis narrows instead (Stress D), since the basis hedge is locked at a fixed level rather than tracking the market both 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</si>
</sst>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;&quot;($&quot;#,##0\)"/>
    <numFmt numFmtId="166" formatCode="0.0%"/>
    <numFmt numFmtId="167" formatCode="mmm\-yyyy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7A33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3" fontId="8" fillId="4" borderId="1" xfId="0" applyNumberFormat="1" applyFont="1" applyFill="1" applyBorder="1"/>
    <xf numFmtId="0" fontId="5" fillId="0" borderId="1" xfId="0" applyFont="1" applyBorder="1"/>
    <xf numFmtId="166" fontId="8" fillId="4" borderId="1" xfId="0" applyNumberFormat="1" applyFont="1" applyFill="1" applyBorder="1"/>
    <xf numFmtId="164" fontId="8" fillId="4" borderId="1" xfId="0" applyNumberFormat="1" applyFont="1" applyFill="1" applyBorder="1"/>
    <xf numFmtId="167" fontId="8" fillId="4" borderId="1" xfId="0" applyNumberFormat="1" applyFont="1" applyFill="1" applyBorder="1"/>
    <xf numFmtId="0" fontId="4" fillId="0" borderId="0" xfId="0" applyFont="1"/>
    <xf numFmtId="0" fontId="9" fillId="0" borderId="0" xfId="0" applyFont="1"/>
    <xf numFmtId="0" fontId="5" fillId="0" borderId="0" xfId="0" applyFont="1"/>
    <xf numFmtId="164" fontId="9" fillId="0" borderId="0" xfId="0" applyNumberFormat="1" applyFont="1"/>
    <xf numFmtId="165" fontId="9" fillId="0" borderId="0" xfId="0" applyNumberFormat="1" applyFont="1"/>
    <xf numFmtId="3" fontId="9" fillId="0" borderId="0" xfId="0" applyNumberFormat="1" applyFont="1"/>
    <xf numFmtId="167" fontId="0" fillId="0" borderId="1" xfId="0" applyNumberFormat="1" applyBorder="1"/>
    <xf numFmtId="0" fontId="4" fillId="0" borderId="0" xfId="0" applyFont="1" applyAlignment="1">
      <alignment vertical="center" wrapText="1"/>
    </xf>
    <xf numFmtId="164" fontId="0" fillId="5" borderId="1" xfId="0" applyNumberFormat="1" applyFill="1" applyBorder="1"/>
    <xf numFmtId="165" fontId="0" fillId="5" borderId="1" xfId="0" applyNumberFormat="1" applyFill="1" applyBorder="1"/>
    <xf numFmtId="3" fontId="0" fillId="5" borderId="1" xfId="0" applyNumberFormat="1" applyFill="1" applyBorder="1"/>
    <xf numFmtId="166" fontId="0" fillId="0" borderId="1" xfId="0" applyNumberFormat="1" applyBorder="1"/>
    <xf numFmtId="166" fontId="0" fillId="5" borderId="1" xfId="0" applyNumberFormat="1" applyFill="1" applyBorder="1"/>
    <xf numFmtId="165" fontId="7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Fill="1" applyAlignment="1">
      <alignment vertical="top" wrapText="1"/>
    </xf>
    <xf numFmtId="0" fontId="10" fillId="0" borderId="0" xfId="0" quotePrefix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Net Realized Price by Strategy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'Hedge Calculations'!$P$13</c:f>
              <c:strCache>
                <c:ptCount val="1"/>
                <c:pt idx="0">
                  <c:v>Unhedged Net Realized Price ($/bbl)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Calculations'!$P$14:$P$49</c:f>
              <c:numCache>
                <c:formatCode>\$#,##0.00</c:formatCode>
                <c:ptCount val="36"/>
                <c:pt idx="0">
                  <c:v>74.569999999999993</c:v>
                </c:pt>
                <c:pt idx="1">
                  <c:v>79.96815840903885</c:v>
                </c:pt>
                <c:pt idx="2">
                  <c:v>88.075510940920921</c:v>
                </c:pt>
                <c:pt idx="3">
                  <c:v>84.332441295442365</c:v>
                </c:pt>
                <c:pt idx="4">
                  <c:v>76.401581370408991</c:v>
                </c:pt>
                <c:pt idx="5">
                  <c:v>70.598622387325534</c:v>
                </c:pt>
                <c:pt idx="6">
                  <c:v>72.802789228047715</c:v>
                </c:pt>
                <c:pt idx="7">
                  <c:v>75.826925764521491</c:v>
                </c:pt>
                <c:pt idx="8">
                  <c:v>79.757181787990746</c:v>
                </c:pt>
                <c:pt idx="9">
                  <c:v>83.712336002417956</c:v>
                </c:pt>
                <c:pt idx="10">
                  <c:v>78.262829611137349</c:v>
                </c:pt>
                <c:pt idx="11">
                  <c:v>77.899616885423498</c:v>
                </c:pt>
                <c:pt idx="12">
                  <c:v>79.832959251407615</c:v>
                </c:pt>
                <c:pt idx="13">
                  <c:v>74.641295649618783</c:v>
                </c:pt>
                <c:pt idx="14">
                  <c:v>68.160313524870617</c:v>
                </c:pt>
                <c:pt idx="15">
                  <c:v>69.902322717601052</c:v>
                </c:pt>
                <c:pt idx="16">
                  <c:v>67.886001182529725</c:v>
                </c:pt>
                <c:pt idx="17">
                  <c:v>68.10654052747671</c:v>
                </c:pt>
                <c:pt idx="18">
                  <c:v>73.796175350540324</c:v>
                </c:pt>
                <c:pt idx="19">
                  <c:v>69.665038102964658</c:v>
                </c:pt>
                <c:pt idx="20">
                  <c:v>66.452245369171365</c:v>
                </c:pt>
                <c:pt idx="21">
                  <c:v>61.817095979615644</c:v>
                </c:pt>
                <c:pt idx="22">
                  <c:v>60.490249060885645</c:v>
                </c:pt>
                <c:pt idx="23">
                  <c:v>66.504752336095919</c:v>
                </c:pt>
                <c:pt idx="24">
                  <c:v>66.706807473987013</c:v>
                </c:pt>
                <c:pt idx="25">
                  <c:v>63.126188232428404</c:v>
                </c:pt>
                <c:pt idx="26">
                  <c:v>62.146265364533917</c:v>
                </c:pt>
                <c:pt idx="27">
                  <c:v>58.973635545572527</c:v>
                </c:pt>
                <c:pt idx="28">
                  <c:v>58.027395170666416</c:v>
                </c:pt>
                <c:pt idx="29">
                  <c:v>55.818138968060907</c:v>
                </c:pt>
                <c:pt idx="30">
                  <c:v>57.776793666733184</c:v>
                </c:pt>
                <c:pt idx="31">
                  <c:v>62.15341511533304</c:v>
                </c:pt>
                <c:pt idx="32">
                  <c:v>88.956081272948566</c:v>
                </c:pt>
                <c:pt idx="33">
                  <c:v>97.860002938034782</c:v>
                </c:pt>
                <c:pt idx="34">
                  <c:v>99.66695011189536</c:v>
                </c:pt>
                <c:pt idx="35">
                  <c:v>82.375057146129024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EF-453F-A525-CB9B2141641D}"/>
            </c:ext>
          </c:extLst>
        </c:ser>
        <c:ser>
          <c:idx val="1"/>
          <c:order val="1"/>
          <c:tx>
            <c:strRef>
              <c:f>'Hedge Calculations'!$Q$13</c:f>
              <c:strCache>
                <c:ptCount val="1"/>
                <c:pt idx="0">
                  <c:v>WTI Swap Net Realized Price ($/bbl)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Calculations'!$Q$14:$Q$49</c:f>
              <c:numCache>
                <c:formatCode>\$#,##0.00</c:formatCode>
                <c:ptCount val="36"/>
                <c:pt idx="0">
                  <c:v>73.581413043478264</c:v>
                </c:pt>
                <c:pt idx="1">
                  <c:v>74.064354061212768</c:v>
                </c:pt>
                <c:pt idx="2">
                  <c:v>74.743445723529618</c:v>
                </c:pt>
                <c:pt idx="3">
                  <c:v>74.502006512833674</c:v>
                </c:pt>
                <c:pt idx="4">
                  <c:v>73.916255283452472</c:v>
                </c:pt>
                <c:pt idx="5">
                  <c:v>73.462752822108143</c:v>
                </c:pt>
                <c:pt idx="6">
                  <c:v>73.588115315004217</c:v>
                </c:pt>
                <c:pt idx="7">
                  <c:v>73.748121416695412</c:v>
                </c:pt>
                <c:pt idx="8">
                  <c:v>73.95500787494727</c:v>
                </c:pt>
                <c:pt idx="9">
                  <c:v>74.149836002417956</c:v>
                </c:pt>
                <c:pt idx="10">
                  <c:v>73.62478613287648</c:v>
                </c:pt>
                <c:pt idx="11">
                  <c:v>73.492551668032192</c:v>
                </c:pt>
                <c:pt idx="12">
                  <c:v>73.550350555755443</c:v>
                </c:pt>
                <c:pt idx="13">
                  <c:v>73.089121736575294</c:v>
                </c:pt>
                <c:pt idx="14">
                  <c:v>72.558139611827144</c:v>
                </c:pt>
                <c:pt idx="15">
                  <c:v>72.683300978470612</c:v>
                </c:pt>
                <c:pt idx="16">
                  <c:v>72.551762052094944</c:v>
                </c:pt>
                <c:pt idx="17">
                  <c:v>72.615236179650623</c:v>
                </c:pt>
                <c:pt idx="18">
                  <c:v>73.112479698366414</c:v>
                </c:pt>
                <c:pt idx="19">
                  <c:v>72.871016363834229</c:v>
                </c:pt>
                <c:pt idx="20">
                  <c:v>72.697897543084423</c:v>
                </c:pt>
                <c:pt idx="21">
                  <c:v>72.405139457876516</c:v>
                </c:pt>
                <c:pt idx="22">
                  <c:v>72.34405340871173</c:v>
                </c:pt>
                <c:pt idx="23">
                  <c:v>72.815078423052441</c:v>
                </c:pt>
                <c:pt idx="24">
                  <c:v>72.813872691378322</c:v>
                </c:pt>
                <c:pt idx="25">
                  <c:v>72.49466649329797</c:v>
                </c:pt>
                <c:pt idx="26">
                  <c:v>72.34626536453392</c:v>
                </c:pt>
                <c:pt idx="27">
                  <c:v>72.010048589050797</c:v>
                </c:pt>
                <c:pt idx="28">
                  <c:v>71.830656040231631</c:v>
                </c:pt>
                <c:pt idx="29">
                  <c:v>71.552378098495694</c:v>
                </c:pt>
                <c:pt idx="30">
                  <c:v>71.598532797167962</c:v>
                </c:pt>
                <c:pt idx="31">
                  <c:v>71.845262941420003</c:v>
                </c:pt>
                <c:pt idx="32">
                  <c:v>73.822385620774668</c:v>
                </c:pt>
                <c:pt idx="33">
                  <c:v>74.466524677165211</c:v>
                </c:pt>
                <c:pt idx="34">
                  <c:v>74.601189242330136</c:v>
                </c:pt>
                <c:pt idx="35">
                  <c:v>73.311470189607292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EF-453F-A525-CB9B2141641D}"/>
            </c:ext>
          </c:extLst>
        </c:ser>
        <c:ser>
          <c:idx val="2"/>
          <c:order val="2"/>
          <c:tx>
            <c:strRef>
              <c:f>'Hedge Calculations'!$R$13</c:f>
              <c:strCache>
                <c:ptCount val="1"/>
                <c:pt idx="0">
                  <c:v>Combined Net Realized Price ($/bbl)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Calculations'!$R$14:$R$49</c:f>
              <c:numCache>
                <c:formatCode>\$#,##0.00</c:formatCode>
                <c:ptCount val="36"/>
                <c:pt idx="0">
                  <c:v>74.04336956521739</c:v>
                </c:pt>
                <c:pt idx="1">
                  <c:v>74.454099009383398</c:v>
                </c:pt>
                <c:pt idx="2">
                  <c:v>75.07096278898311</c:v>
                </c:pt>
                <c:pt idx="3">
                  <c:v>74.786164011609742</c:v>
                </c:pt>
                <c:pt idx="4">
                  <c:v>74.182729017313719</c:v>
                </c:pt>
                <c:pt idx="5">
                  <c:v>73.741199529470421</c:v>
                </c:pt>
                <c:pt idx="6">
                  <c:v>73.90890787604711</c:v>
                </c:pt>
                <c:pt idx="7">
                  <c:v>74.139005221213594</c:v>
                </c:pt>
                <c:pt idx="8">
                  <c:v>74.438046440390593</c:v>
                </c:pt>
                <c:pt idx="9">
                  <c:v>74.738982087140499</c:v>
                </c:pt>
                <c:pt idx="10">
                  <c:v>74.324345731282179</c:v>
                </c:pt>
                <c:pt idx="11">
                  <c:v>74.296709980412658</c:v>
                </c:pt>
                <c:pt idx="12">
                  <c:v>74.443812116954916</c:v>
                </c:pt>
                <c:pt idx="13">
                  <c:v>74.048794234210121</c:v>
                </c:pt>
                <c:pt idx="14">
                  <c:v>73.555676029066248</c:v>
                </c:pt>
                <c:pt idx="15">
                  <c:v>73.688220206773977</c:v>
                </c:pt>
                <c:pt idx="16">
                  <c:v>73.534804437801171</c:v>
                </c:pt>
                <c:pt idx="17">
                  <c:v>73.551584605351479</c:v>
                </c:pt>
                <c:pt idx="18">
                  <c:v>73.98449160275851</c:v>
                </c:pt>
                <c:pt idx="19">
                  <c:v>73.670165942616876</c:v>
                </c:pt>
                <c:pt idx="20">
                  <c:v>73.425714321567398</c:v>
                </c:pt>
                <c:pt idx="21">
                  <c:v>73.073039911492501</c:v>
                </c:pt>
                <c:pt idx="22">
                  <c:v>72.972084167676087</c:v>
                </c:pt>
                <c:pt idx="23">
                  <c:v>73.429709416876875</c:v>
                </c:pt>
                <c:pt idx="24">
                  <c:v>73.445083177368588</c:v>
                </c:pt>
                <c:pt idx="25">
                  <c:v>73.172644756815203</c:v>
                </c:pt>
                <c:pt idx="26">
                  <c:v>73.098085408171059</c:v>
                </c:pt>
                <c:pt idx="27">
                  <c:v>72.856689661076175</c:v>
                </c:pt>
                <c:pt idx="28">
                  <c:v>72.784693110811574</c:v>
                </c:pt>
                <c:pt idx="29">
                  <c:v>72.616597530178538</c:v>
                </c:pt>
                <c:pt idx="30">
                  <c:v>72.765625605077517</c:v>
                </c:pt>
                <c:pt idx="31">
                  <c:v>73.098629410949258</c:v>
                </c:pt>
                <c:pt idx="32">
                  <c:v>75.137962705550436</c:v>
                </c:pt>
                <c:pt idx="33">
                  <c:v>75.815435006154814</c:v>
                </c:pt>
                <c:pt idx="34">
                  <c:v>75.95292011720943</c:v>
                </c:pt>
                <c:pt idx="35">
                  <c:v>74.637232608944601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EF-453F-A525-CB9B21416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337549"/>
        <c:axId val="67966304"/>
      </c:lineChart>
      <c:dateAx>
        <c:axId val="55337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966304"/>
        <c:crosses val="autoZero"/>
        <c:auto val="1"/>
        <c:lblOffset val="100"/>
        <c:baseTimeUnit val="months"/>
      </c:dateAx>
      <c:valAx>
        <c:axId val="67966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Net Realized Price ($/bbl)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3375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Net Revenue by Strategy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'Hedge Calculations'!$K$13</c:f>
              <c:strCache>
                <c:ptCount val="1"/>
                <c:pt idx="0">
                  <c:v>Unhedged Net Revenue ($)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Calculations'!$K$14:$K$49</c:f>
              <c:numCache>
                <c:formatCode>\$#,##0;"($"#,##0\)</c:formatCode>
                <c:ptCount val="36"/>
                <c:pt idx="0">
                  <c:v>3430219.9999999995</c:v>
                </c:pt>
                <c:pt idx="1">
                  <c:v>3678535.2868157872</c:v>
                </c:pt>
                <c:pt idx="2">
                  <c:v>4051473.5032823626</c:v>
                </c:pt>
                <c:pt idx="3">
                  <c:v>3879292.2995903487</c:v>
                </c:pt>
                <c:pt idx="4">
                  <c:v>3514472.7430388136</c:v>
                </c:pt>
                <c:pt idx="5">
                  <c:v>3247536.6298169745</c:v>
                </c:pt>
                <c:pt idx="6">
                  <c:v>3348928.3044901947</c:v>
                </c:pt>
                <c:pt idx="7">
                  <c:v>3488038.5851679887</c:v>
                </c:pt>
                <c:pt idx="8">
                  <c:v>3668830.3622475741</c:v>
                </c:pt>
                <c:pt idx="9">
                  <c:v>3850767.4561112258</c:v>
                </c:pt>
                <c:pt idx="10">
                  <c:v>3600090.162112318</c:v>
                </c:pt>
                <c:pt idx="11">
                  <c:v>3583382.3767294809</c:v>
                </c:pt>
                <c:pt idx="12">
                  <c:v>3672316.1255647503</c:v>
                </c:pt>
                <c:pt idx="13">
                  <c:v>3433499.5998824639</c:v>
                </c:pt>
                <c:pt idx="14">
                  <c:v>3135374.4221440484</c:v>
                </c:pt>
                <c:pt idx="15">
                  <c:v>3215506.8450096482</c:v>
                </c:pt>
                <c:pt idx="16">
                  <c:v>3122756.0543963672</c:v>
                </c:pt>
                <c:pt idx="17">
                  <c:v>3132900.8642639285</c:v>
                </c:pt>
                <c:pt idx="18">
                  <c:v>3394624.0661248551</c:v>
                </c:pt>
                <c:pt idx="19">
                  <c:v>3204591.7527363743</c:v>
                </c:pt>
                <c:pt idx="20">
                  <c:v>3056803.286981883</c:v>
                </c:pt>
                <c:pt idx="21">
                  <c:v>2843586.4150623195</c:v>
                </c:pt>
                <c:pt idx="22">
                  <c:v>2782551.4568007397</c:v>
                </c:pt>
                <c:pt idx="23">
                  <c:v>3059218.6074604122</c:v>
                </c:pt>
                <c:pt idx="24">
                  <c:v>3068513.1438034028</c:v>
                </c:pt>
                <c:pt idx="25">
                  <c:v>2903804.6586917066</c:v>
                </c:pt>
                <c:pt idx="26">
                  <c:v>2858728.2067685602</c:v>
                </c:pt>
                <c:pt idx="27">
                  <c:v>2712787.2350963363</c:v>
                </c:pt>
                <c:pt idx="28">
                  <c:v>2669260.1778506553</c:v>
                </c:pt>
                <c:pt idx="29">
                  <c:v>2567634.3925308017</c:v>
                </c:pt>
                <c:pt idx="30">
                  <c:v>2657732.5086697266</c:v>
                </c:pt>
                <c:pt idx="31">
                  <c:v>2859057.0953053199</c:v>
                </c:pt>
                <c:pt idx="32">
                  <c:v>4091979.7385556339</c:v>
                </c:pt>
                <c:pt idx="33">
                  <c:v>4501560.1351496</c:v>
                </c:pt>
                <c:pt idx="34">
                  <c:v>4584679.7051471863</c:v>
                </c:pt>
                <c:pt idx="35">
                  <c:v>3789252.6287219352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4C-4832-BFBA-5847E7A64BA5}"/>
            </c:ext>
          </c:extLst>
        </c:ser>
        <c:ser>
          <c:idx val="1"/>
          <c:order val="1"/>
          <c:tx>
            <c:strRef>
              <c:f>'Hedge Calculations'!$M$13</c:f>
              <c:strCache>
                <c:ptCount val="1"/>
                <c:pt idx="0">
                  <c:v>WTI Swap Net Revenue ($)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Calculations'!$M$14:$M$49</c:f>
              <c:numCache>
                <c:formatCode>\$#,##0;"($"#,##0\)</c:formatCode>
                <c:ptCount val="36"/>
                <c:pt idx="0">
                  <c:v>3384745</c:v>
                </c:pt>
                <c:pt idx="1">
                  <c:v>3406960.2868157872</c:v>
                </c:pt>
                <c:pt idx="2">
                  <c:v>3438198.5032823626</c:v>
                </c:pt>
                <c:pt idx="3">
                  <c:v>3427092.2995903487</c:v>
                </c:pt>
                <c:pt idx="4">
                  <c:v>3400147.7430388136</c:v>
                </c:pt>
                <c:pt idx="5">
                  <c:v>3379286.6298169745</c:v>
                </c:pt>
                <c:pt idx="6">
                  <c:v>3385053.3044901942</c:v>
                </c:pt>
                <c:pt idx="7">
                  <c:v>3392413.5851679887</c:v>
                </c:pt>
                <c:pt idx="8">
                  <c:v>3401930.3622475741</c:v>
                </c:pt>
                <c:pt idx="9">
                  <c:v>3410892.4561112262</c:v>
                </c:pt>
                <c:pt idx="10">
                  <c:v>3386740.162112318</c:v>
                </c:pt>
                <c:pt idx="11">
                  <c:v>3380657.3767294809</c:v>
                </c:pt>
                <c:pt idx="12">
                  <c:v>3383316.1255647503</c:v>
                </c:pt>
                <c:pt idx="13">
                  <c:v>3362099.5998824635</c:v>
                </c:pt>
                <c:pt idx="14">
                  <c:v>3337674.4221440484</c:v>
                </c:pt>
                <c:pt idx="15">
                  <c:v>3343431.8450096482</c:v>
                </c:pt>
                <c:pt idx="16">
                  <c:v>3337381.0543963672</c:v>
                </c:pt>
                <c:pt idx="17">
                  <c:v>3340300.8642639285</c:v>
                </c:pt>
                <c:pt idx="18">
                  <c:v>3363174.0661248551</c:v>
                </c:pt>
                <c:pt idx="19">
                  <c:v>3352066.7527363743</c:v>
                </c:pt>
                <c:pt idx="20">
                  <c:v>3344103.2869818835</c:v>
                </c:pt>
                <c:pt idx="21">
                  <c:v>3330636.4150623195</c:v>
                </c:pt>
                <c:pt idx="22">
                  <c:v>3327826.4568007397</c:v>
                </c:pt>
                <c:pt idx="23">
                  <c:v>3349493.6074604122</c:v>
                </c:pt>
                <c:pt idx="24">
                  <c:v>3349438.1438034028</c:v>
                </c:pt>
                <c:pt idx="25">
                  <c:v>3334754.6586917066</c:v>
                </c:pt>
                <c:pt idx="26">
                  <c:v>3327928.2067685602</c:v>
                </c:pt>
                <c:pt idx="27">
                  <c:v>3312462.2350963363</c:v>
                </c:pt>
                <c:pt idx="28">
                  <c:v>3304210.1778506553</c:v>
                </c:pt>
                <c:pt idx="29">
                  <c:v>3291409.3925308017</c:v>
                </c:pt>
                <c:pt idx="30">
                  <c:v>3293532.5086697266</c:v>
                </c:pt>
                <c:pt idx="31">
                  <c:v>3304882.0953053199</c:v>
                </c:pt>
                <c:pt idx="32">
                  <c:v>3395829.7385556344</c:v>
                </c:pt>
                <c:pt idx="33">
                  <c:v>3425460.1351496</c:v>
                </c:pt>
                <c:pt idx="34">
                  <c:v>3431654.7051471863</c:v>
                </c:pt>
                <c:pt idx="35">
                  <c:v>3372327.6287219352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4C-4832-BFBA-5847E7A64BA5}"/>
            </c:ext>
          </c:extLst>
        </c:ser>
        <c:ser>
          <c:idx val="2"/>
          <c:order val="2"/>
          <c:tx>
            <c:strRef>
              <c:f>'Hedge Calculations'!$O$13</c:f>
              <c:strCache>
                <c:ptCount val="1"/>
                <c:pt idx="0">
                  <c:v>Combined Net Revenue ($)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'Hedge Calculations'!$A$14:$A$49</c:f>
              <c:numCache>
                <c:formatCode>mmm\-yyyy</c:formatCode>
                <c:ptCount val="3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  <c:pt idx="34">
                  <c:v>46143</c:v>
                </c:pt>
                <c:pt idx="35">
                  <c:v>46174</c:v>
                </c:pt>
              </c:numCache>
            </c:numRef>
          </c:cat>
          <c:val>
            <c:numRef>
              <c:f>'Hedge Calculations'!$O$14:$O$49</c:f>
              <c:numCache>
                <c:formatCode>\$#,##0;"($"#,##0\)</c:formatCode>
                <c:ptCount val="36"/>
                <c:pt idx="0">
                  <c:v>3405995</c:v>
                </c:pt>
                <c:pt idx="1">
                  <c:v>3424888.5544316364</c:v>
                </c:pt>
                <c:pt idx="2">
                  <c:v>3453264.2882932234</c:v>
                </c:pt>
                <c:pt idx="3">
                  <c:v>3440163.5445340481</c:v>
                </c:pt>
                <c:pt idx="4">
                  <c:v>3412405.5347964312</c:v>
                </c:pt>
                <c:pt idx="5">
                  <c:v>3392095.1783556393</c:v>
                </c:pt>
                <c:pt idx="6">
                  <c:v>3399809.7622981668</c:v>
                </c:pt>
                <c:pt idx="7">
                  <c:v>3410394.2401758251</c:v>
                </c:pt>
                <c:pt idx="8">
                  <c:v>3424150.1362579674</c:v>
                </c:pt>
                <c:pt idx="9">
                  <c:v>3437993.1760084629</c:v>
                </c:pt>
                <c:pt idx="10">
                  <c:v>3418919.9036389804</c:v>
                </c:pt>
                <c:pt idx="11">
                  <c:v>3417648.6590989823</c:v>
                </c:pt>
                <c:pt idx="12">
                  <c:v>3424415.3573799264</c:v>
                </c:pt>
                <c:pt idx="13">
                  <c:v>3406244.5347736655</c:v>
                </c:pt>
                <c:pt idx="14">
                  <c:v>3383561.0973370471</c:v>
                </c:pt>
                <c:pt idx="15">
                  <c:v>3389658.1295116032</c:v>
                </c:pt>
                <c:pt idx="16">
                  <c:v>3382601.0041388539</c:v>
                </c:pt>
                <c:pt idx="17">
                  <c:v>3383372.8918461683</c:v>
                </c:pt>
                <c:pt idx="18">
                  <c:v>3403286.6137268916</c:v>
                </c:pt>
                <c:pt idx="19">
                  <c:v>3388827.6333603766</c:v>
                </c:pt>
                <c:pt idx="20">
                  <c:v>3377582.8587921006</c:v>
                </c:pt>
                <c:pt idx="21">
                  <c:v>3361359.8359286548</c:v>
                </c:pt>
                <c:pt idx="22">
                  <c:v>3356715.8717131</c:v>
                </c:pt>
                <c:pt idx="23">
                  <c:v>3377766.6331763361</c:v>
                </c:pt>
                <c:pt idx="24">
                  <c:v>3378473.8261589548</c:v>
                </c:pt>
                <c:pt idx="25">
                  <c:v>3365941.6588134994</c:v>
                </c:pt>
                <c:pt idx="26">
                  <c:v>3362511.9287758688</c:v>
                </c:pt>
                <c:pt idx="27">
                  <c:v>3351407.7244095039</c:v>
                </c:pt>
                <c:pt idx="28">
                  <c:v>3348095.8830973324</c:v>
                </c:pt>
                <c:pt idx="29">
                  <c:v>3340363.486388213</c:v>
                </c:pt>
                <c:pt idx="30">
                  <c:v>3347218.7778335661</c:v>
                </c:pt>
                <c:pt idx="31">
                  <c:v>3362536.9529036661</c:v>
                </c:pt>
                <c:pt idx="32">
                  <c:v>3456346.2844553203</c:v>
                </c:pt>
                <c:pt idx="33">
                  <c:v>3487510.0102831214</c:v>
                </c:pt>
                <c:pt idx="34">
                  <c:v>3493834.3253916339</c:v>
                </c:pt>
                <c:pt idx="35">
                  <c:v>3433312.7000114517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4C-4832-BFBA-5847E7A64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302454"/>
        <c:axId val="6613034"/>
      </c:lineChart>
      <c:dateAx>
        <c:axId val="92302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13034"/>
        <c:crosses val="autoZero"/>
        <c:auto val="1"/>
        <c:lblOffset val="100"/>
        <c:baseTimeUnit val="months"/>
      </c:dateAx>
      <c:valAx>
        <c:axId val="6613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Net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3024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4</xdr:col>
      <xdr:colOff>621720</xdr:colOff>
      <xdr:row>48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4</xdr:col>
      <xdr:colOff>621720</xdr:colOff>
      <xdr:row>67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G30"/>
  <sheetViews>
    <sheetView showGridLines="0" tabSelected="1" topLeftCell="A3" zoomScaleNormal="100" workbookViewId="0">
      <selection activeCell="L20" sqref="L20"/>
    </sheetView>
  </sheetViews>
  <sheetFormatPr defaultColWidth="8.7109375" defaultRowHeight="15" x14ac:dyDescent="0.25"/>
  <cols>
    <col min="1" max="1" width="26" customWidth="1"/>
    <col min="2" max="2" width="16" customWidth="1"/>
    <col min="3" max="4" width="18" customWidth="1"/>
    <col min="5" max="5" width="16" customWidth="1"/>
    <col min="6" max="6" width="14" customWidth="1"/>
    <col min="7" max="7" width="16" customWidth="1"/>
  </cols>
  <sheetData>
    <row r="1" spans="1:7" ht="20.25" x14ac:dyDescent="0.3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7" t="s">
        <v>1</v>
      </c>
      <c r="B2" s="7"/>
      <c r="C2" s="7"/>
      <c r="D2" s="7"/>
      <c r="E2" s="7"/>
      <c r="F2" s="7"/>
      <c r="G2" s="7"/>
    </row>
    <row r="4" spans="1:7" ht="30" customHeight="1" x14ac:dyDescent="0.25">
      <c r="A4" s="9" t="s">
        <v>2</v>
      </c>
      <c r="B4" s="6" t="s">
        <v>3</v>
      </c>
      <c r="C4" s="6"/>
      <c r="D4" s="6"/>
      <c r="E4" s="6"/>
      <c r="F4" s="6"/>
      <c r="G4" s="6"/>
    </row>
    <row r="6" spans="1:7" ht="30" customHeight="1" x14ac:dyDescent="0.25">
      <c r="A6" s="9" t="s">
        <v>4</v>
      </c>
      <c r="B6" s="6" t="s">
        <v>5</v>
      </c>
      <c r="C6" s="6"/>
      <c r="D6" s="6"/>
      <c r="E6" s="6"/>
      <c r="F6" s="6"/>
      <c r="G6" s="6"/>
    </row>
    <row r="8" spans="1:7" ht="30" customHeight="1" x14ac:dyDescent="0.25">
      <c r="A8" s="9" t="s">
        <v>6</v>
      </c>
      <c r="B8" s="5" t="s">
        <v>7</v>
      </c>
      <c r="C8" s="5"/>
      <c r="D8" s="5"/>
      <c r="E8" s="5"/>
      <c r="F8" s="5"/>
      <c r="G8" s="5"/>
    </row>
    <row r="10" spans="1:7" ht="15.75" x14ac:dyDescent="0.25">
      <c r="A10" s="4" t="s">
        <v>8</v>
      </c>
      <c r="B10" s="4"/>
      <c r="C10" s="4"/>
      <c r="D10" s="4"/>
      <c r="E10" s="4"/>
      <c r="F10" s="4"/>
      <c r="G10" s="4"/>
    </row>
    <row r="11" spans="1:7" ht="38.25" x14ac:dyDescent="0.25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</row>
    <row r="12" spans="1:7" x14ac:dyDescent="0.25">
      <c r="A12" s="11" t="s">
        <v>16</v>
      </c>
      <c r="B12" s="12">
        <f>'Hedge Calculations'!B6</f>
        <v>72.862492048382705</v>
      </c>
      <c r="C12" s="13">
        <f>'Hedge Calculations'!B7</f>
        <v>3351674.6342256037</v>
      </c>
      <c r="D12" s="13">
        <f>'Hedge Calculations'!B8</f>
        <v>2567634.3925308017</v>
      </c>
      <c r="E12" s="13">
        <f>'Hedge Calculations'!B10</f>
        <v>0</v>
      </c>
      <c r="F12" s="13">
        <f>'Hedge Calculations'!B9-'Hedge Calculations'!B8</f>
        <v>2017045.3126163846</v>
      </c>
    </row>
    <row r="13" spans="1:7" x14ac:dyDescent="0.25">
      <c r="A13" s="11" t="s">
        <v>17</v>
      </c>
      <c r="B13" s="12">
        <f>'Hedge Calculations'!C6</f>
        <v>73.133763183648398</v>
      </c>
      <c r="C13" s="13">
        <f>'Hedge Calculations'!C7</f>
        <v>3364153.1064478257</v>
      </c>
      <c r="D13" s="13">
        <f>'Hedge Calculations'!C8</f>
        <v>3291409.3925308017</v>
      </c>
      <c r="E13" s="13">
        <f>'Hedge Calculations'!C10</f>
        <v>449224.99999999942</v>
      </c>
      <c r="F13" s="13">
        <f>'Hedge Calculations'!C9-'Hedge Calculations'!C8</f>
        <v>146789.11075156089</v>
      </c>
    </row>
    <row r="14" spans="1:7" x14ac:dyDescent="0.25">
      <c r="A14" s="11" t="s">
        <v>18</v>
      </c>
      <c r="B14" s="12">
        <f>'Hedge Calculations'!D6</f>
        <v>73.913450481942164</v>
      </c>
      <c r="C14" s="13">
        <f>'Hedge Calculations'!D7</f>
        <v>3400018.7221693392</v>
      </c>
      <c r="D14" s="13">
        <f>'Hedge Calculations'!D8</f>
        <v>3340363.486388213</v>
      </c>
      <c r="E14" s="13">
        <f>'Hedge Calculations'!D10</f>
        <v>1740387.1659744936</v>
      </c>
      <c r="F14" s="13">
        <f>'Hedge Calculations'!D9-'Hedge Calculations'!D8</f>
        <v>153470.8390034209</v>
      </c>
    </row>
    <row r="16" spans="1:7" ht="15.75" x14ac:dyDescent="0.25">
      <c r="A16" s="4" t="s">
        <v>19</v>
      </c>
      <c r="B16" s="4"/>
      <c r="C16" s="4"/>
      <c r="D16" s="4"/>
      <c r="E16" s="4"/>
      <c r="F16" s="4"/>
      <c r="G16" s="4"/>
    </row>
    <row r="17" spans="1:7" ht="27.75" customHeight="1" x14ac:dyDescent="0.25">
      <c r="A17" s="6" t="s">
        <v>20</v>
      </c>
      <c r="B17" s="6"/>
      <c r="C17" s="6"/>
      <c r="D17" s="6"/>
      <c r="E17" s="6"/>
      <c r="F17" s="6"/>
      <c r="G17" s="6"/>
    </row>
    <row r="18" spans="1:7" ht="27.75" customHeight="1" x14ac:dyDescent="0.25">
      <c r="A18" s="6" t="s">
        <v>21</v>
      </c>
      <c r="B18" s="6"/>
      <c r="C18" s="6"/>
      <c r="D18" s="6"/>
      <c r="E18" s="6"/>
      <c r="F18" s="6"/>
      <c r="G18" s="6"/>
    </row>
    <row r="19" spans="1:7" ht="36.75" customHeight="1" x14ac:dyDescent="0.25">
      <c r="A19" s="6" t="s">
        <v>22</v>
      </c>
      <c r="B19" s="6"/>
      <c r="C19" s="6"/>
      <c r="D19" s="6"/>
      <c r="E19" s="6"/>
      <c r="F19" s="6"/>
      <c r="G19" s="6"/>
    </row>
    <row r="20" spans="1:7" ht="36.75" customHeight="1" x14ac:dyDescent="0.25">
      <c r="A20" s="39" t="s">
        <v>161</v>
      </c>
      <c r="B20" s="38"/>
      <c r="C20" s="38"/>
      <c r="D20" s="38"/>
      <c r="E20" s="38"/>
      <c r="F20" s="38"/>
      <c r="G20" s="38"/>
    </row>
    <row r="21" spans="1:7" ht="15.75" x14ac:dyDescent="0.25">
      <c r="A21" s="4" t="s">
        <v>23</v>
      </c>
      <c r="B21" s="4"/>
      <c r="C21" s="4"/>
      <c r="D21" s="4"/>
      <c r="E21" s="4"/>
      <c r="F21" s="4"/>
      <c r="G21" s="4"/>
    </row>
    <row r="22" spans="1:7" ht="15" customHeight="1" x14ac:dyDescent="0.25">
      <c r="A22" s="10" t="s">
        <v>9</v>
      </c>
      <c r="B22" s="3" t="s">
        <v>24</v>
      </c>
      <c r="C22" s="3"/>
      <c r="D22" s="3"/>
      <c r="E22" s="3"/>
      <c r="F22" s="3"/>
      <c r="G22" s="3"/>
    </row>
    <row r="23" spans="1:7" x14ac:dyDescent="0.25">
      <c r="A23" s="11" t="s">
        <v>16</v>
      </c>
      <c r="B23" s="2" t="s">
        <v>25</v>
      </c>
      <c r="C23" s="2"/>
      <c r="D23" s="2"/>
      <c r="E23" s="2"/>
      <c r="F23" s="2"/>
      <c r="G23" s="2"/>
    </row>
    <row r="24" spans="1:7" x14ac:dyDescent="0.25">
      <c r="A24" s="11" t="s">
        <v>17</v>
      </c>
      <c r="B24" s="2" t="s">
        <v>26</v>
      </c>
      <c r="C24" s="2"/>
      <c r="D24" s="2"/>
      <c r="E24" s="2"/>
      <c r="F24" s="2"/>
      <c r="G24" s="2"/>
    </row>
    <row r="25" spans="1:7" x14ac:dyDescent="0.25">
      <c r="A25" s="11" t="s">
        <v>27</v>
      </c>
      <c r="B25" s="2" t="s">
        <v>28</v>
      </c>
      <c r="C25" s="2"/>
      <c r="D25" s="2"/>
      <c r="E25" s="2"/>
      <c r="F25" s="2"/>
      <c r="G25" s="2"/>
    </row>
    <row r="27" spans="1:7" ht="15.75" x14ac:dyDescent="0.25">
      <c r="A27" s="4" t="s">
        <v>29</v>
      </c>
      <c r="B27" s="4"/>
      <c r="C27" s="4"/>
      <c r="D27" s="4"/>
      <c r="E27" s="4"/>
      <c r="F27" s="4"/>
      <c r="G27" s="4"/>
    </row>
    <row r="28" spans="1:7" ht="15" customHeight="1" x14ac:dyDescent="0.25">
      <c r="A28" s="6" t="s">
        <v>30</v>
      </c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</sheetData>
  <mergeCells count="18">
    <mergeCell ref="A27:G27"/>
    <mergeCell ref="A28:G30"/>
    <mergeCell ref="A20:G20"/>
    <mergeCell ref="A21:G21"/>
    <mergeCell ref="B22:G22"/>
    <mergeCell ref="B23:G23"/>
    <mergeCell ref="B24:G24"/>
    <mergeCell ref="B25:G25"/>
    <mergeCell ref="A10:G10"/>
    <mergeCell ref="A16:G16"/>
    <mergeCell ref="A17:G17"/>
    <mergeCell ref="A18:G18"/>
    <mergeCell ref="A19:G19"/>
    <mergeCell ref="A1:G1"/>
    <mergeCell ref="A2:G2"/>
    <mergeCell ref="B4:G4"/>
    <mergeCell ref="B6:G6"/>
    <mergeCell ref="B8:G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D23"/>
  <sheetViews>
    <sheetView showGridLines="0" zoomScaleNormal="100" workbookViewId="0">
      <pane ySplit="5" topLeftCell="A6" activePane="bottomLeft" state="frozen"/>
      <selection pane="bottomLeft" activeCell="B29" sqref="B29"/>
    </sheetView>
  </sheetViews>
  <sheetFormatPr defaultColWidth="8.7109375" defaultRowHeight="15" x14ac:dyDescent="0.25"/>
  <cols>
    <col min="1" max="1" width="40" customWidth="1"/>
    <col min="2" max="2" width="16" customWidth="1"/>
    <col min="3" max="3" width="12" customWidth="1"/>
    <col min="4" max="4" width="46" customWidth="1"/>
  </cols>
  <sheetData>
    <row r="1" spans="1:4" ht="20.25" x14ac:dyDescent="0.3">
      <c r="A1" s="8" t="s">
        <v>31</v>
      </c>
      <c r="B1" s="8"/>
      <c r="C1" s="8"/>
      <c r="D1" s="8"/>
    </row>
    <row r="2" spans="1:4" x14ac:dyDescent="0.25">
      <c r="A2" s="7" t="s">
        <v>32</v>
      </c>
      <c r="B2" s="7"/>
      <c r="C2" s="7"/>
      <c r="D2" s="7"/>
    </row>
    <row r="4" spans="1:4" ht="15.75" x14ac:dyDescent="0.25">
      <c r="A4" s="4" t="s">
        <v>33</v>
      </c>
      <c r="B4" s="4"/>
      <c r="C4" s="4"/>
      <c r="D4" s="4"/>
    </row>
    <row r="5" spans="1:4" x14ac:dyDescent="0.25">
      <c r="A5" s="10" t="s">
        <v>34</v>
      </c>
      <c r="B5" s="10" t="s">
        <v>35</v>
      </c>
      <c r="C5" s="10" t="s">
        <v>36</v>
      </c>
      <c r="D5" s="10" t="s">
        <v>37</v>
      </c>
    </row>
    <row r="6" spans="1:4" x14ac:dyDescent="0.25">
      <c r="A6" s="11" t="s">
        <v>38</v>
      </c>
      <c r="B6" s="15">
        <v>50000</v>
      </c>
      <c r="C6" s="16" t="s">
        <v>39</v>
      </c>
      <c r="D6" s="16" t="s">
        <v>40</v>
      </c>
    </row>
    <row r="7" spans="1:4" x14ac:dyDescent="0.25">
      <c r="A7" s="11" t="s">
        <v>41</v>
      </c>
      <c r="B7" s="17">
        <v>0.92</v>
      </c>
      <c r="C7" s="16" t="s">
        <v>42</v>
      </c>
      <c r="D7" s="16" t="s">
        <v>43</v>
      </c>
    </row>
    <row r="8" spans="1:4" x14ac:dyDescent="0.25">
      <c r="A8" s="11" t="s">
        <v>44</v>
      </c>
      <c r="B8" s="17">
        <v>0.85</v>
      </c>
      <c r="C8" s="16" t="s">
        <v>42</v>
      </c>
      <c r="D8" s="16" t="s">
        <v>45</v>
      </c>
    </row>
    <row r="9" spans="1:4" x14ac:dyDescent="0.25">
      <c r="A9" s="11" t="s">
        <v>46</v>
      </c>
      <c r="B9" s="18">
        <v>75</v>
      </c>
      <c r="C9" s="16" t="s">
        <v>47</v>
      </c>
      <c r="D9" s="16" t="s">
        <v>48</v>
      </c>
    </row>
    <row r="10" spans="1:4" x14ac:dyDescent="0.25">
      <c r="A10" s="11" t="s">
        <v>49</v>
      </c>
      <c r="B10" s="18">
        <v>-1.5</v>
      </c>
      <c r="C10" s="16" t="s">
        <v>47</v>
      </c>
      <c r="D10" s="16" t="s">
        <v>50</v>
      </c>
    </row>
    <row r="11" spans="1:4" x14ac:dyDescent="0.25">
      <c r="A11" s="11" t="s">
        <v>51</v>
      </c>
      <c r="B11" s="18">
        <v>-1</v>
      </c>
      <c r="C11" s="16" t="s">
        <v>47</v>
      </c>
      <c r="D11" s="16" t="s">
        <v>52</v>
      </c>
    </row>
    <row r="12" spans="1:4" x14ac:dyDescent="0.25">
      <c r="A12" s="11" t="s">
        <v>53</v>
      </c>
      <c r="B12" s="19">
        <v>45108</v>
      </c>
      <c r="C12" s="16" t="s">
        <v>54</v>
      </c>
      <c r="D12" s="16" t="s">
        <v>55</v>
      </c>
    </row>
    <row r="13" spans="1:4" x14ac:dyDescent="0.25">
      <c r="A13" s="11" t="s">
        <v>56</v>
      </c>
      <c r="B13" s="19">
        <v>46174</v>
      </c>
      <c r="C13" s="16" t="s">
        <v>54</v>
      </c>
      <c r="D13" s="16" t="s">
        <v>57</v>
      </c>
    </row>
    <row r="15" spans="1:4" ht="15.75" x14ac:dyDescent="0.25">
      <c r="A15" s="4" t="s">
        <v>58</v>
      </c>
      <c r="B15" s="4"/>
      <c r="C15" s="4"/>
      <c r="D15" s="4"/>
    </row>
    <row r="16" spans="1:4" x14ac:dyDescent="0.25">
      <c r="A16" s="10" t="s">
        <v>59</v>
      </c>
      <c r="B16" s="10" t="s">
        <v>35</v>
      </c>
      <c r="C16" s="10" t="s">
        <v>36</v>
      </c>
      <c r="D16" s="10" t="s">
        <v>37</v>
      </c>
    </row>
    <row r="17" spans="1:4" x14ac:dyDescent="0.25">
      <c r="A17" s="20" t="s">
        <v>60</v>
      </c>
      <c r="B17" s="21" t="s">
        <v>61</v>
      </c>
      <c r="C17" s="22" t="s">
        <v>47</v>
      </c>
      <c r="D17" s="22" t="s">
        <v>62</v>
      </c>
    </row>
    <row r="19" spans="1:4" ht="15.75" x14ac:dyDescent="0.25">
      <c r="A19" s="4" t="s">
        <v>63</v>
      </c>
      <c r="B19" s="4"/>
      <c r="C19" s="4"/>
      <c r="D19" s="4"/>
    </row>
    <row r="20" spans="1:4" x14ac:dyDescent="0.25">
      <c r="A20" s="10" t="s">
        <v>64</v>
      </c>
      <c r="B20" s="10" t="s">
        <v>35</v>
      </c>
      <c r="C20" s="10" t="s">
        <v>36</v>
      </c>
      <c r="D20" s="10" t="s">
        <v>37</v>
      </c>
    </row>
    <row r="21" spans="1:4" x14ac:dyDescent="0.25">
      <c r="A21" s="20" t="s">
        <v>65</v>
      </c>
      <c r="B21" s="23">
        <f>'Hedge Calculations'!D6</f>
        <v>73.913450481942164</v>
      </c>
      <c r="C21" s="22" t="s">
        <v>47</v>
      </c>
      <c r="D21" s="22" t="s">
        <v>66</v>
      </c>
    </row>
    <row r="22" spans="1:4" x14ac:dyDescent="0.25">
      <c r="A22" s="20" t="s">
        <v>67</v>
      </c>
      <c r="B22" s="24">
        <f>'Hedge Calculations'!D10</f>
        <v>1740387.1659744936</v>
      </c>
      <c r="C22" s="22" t="s">
        <v>68</v>
      </c>
      <c r="D22" s="22" t="s">
        <v>69</v>
      </c>
    </row>
    <row r="23" spans="1:4" x14ac:dyDescent="0.25">
      <c r="A23" s="20" t="s">
        <v>70</v>
      </c>
      <c r="B23" s="25">
        <f>'Hedge Calculations'!D11</f>
        <v>0</v>
      </c>
      <c r="C23" s="22" t="s">
        <v>71</v>
      </c>
      <c r="D23" s="22" t="s">
        <v>72</v>
      </c>
    </row>
  </sheetData>
  <mergeCells count="5">
    <mergeCell ref="A1:D1"/>
    <mergeCell ref="A2:D2"/>
    <mergeCell ref="A4:D4"/>
    <mergeCell ref="A15:D15"/>
    <mergeCell ref="A19:D19"/>
  </mergeCells>
  <dataValidations count="2">
    <dataValidation type="decimal" error="Enter a percentage between 0% and 200%." sqref="B7" xr:uid="{00000000-0002-0000-0100-000000000000}">
      <formula1>0</formula1>
      <formula2>2</formula2>
    </dataValidation>
    <dataValidation type="decimal" error="Hedge percentage must be between 0% and 100%." sqref="B8" xr:uid="{00000000-0002-0000-0100-000001000000}">
      <formula1>0</formula1>
      <formula2>1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D500"/>
  <sheetViews>
    <sheetView showGridLines="0" zoomScaleNormal="100" workbookViewId="0">
      <pane ySplit="14" topLeftCell="A15" activePane="bottomLeft" state="frozen"/>
      <selection pane="bottomLeft" sqref="A1:D1"/>
    </sheetView>
  </sheetViews>
  <sheetFormatPr defaultColWidth="8.7109375" defaultRowHeight="15" x14ac:dyDescent="0.25"/>
  <cols>
    <col min="1" max="1" width="28" customWidth="1"/>
    <col min="2" max="2" width="24" customWidth="1"/>
    <col min="3" max="3" width="34" customWidth="1"/>
    <col min="4" max="4" width="20" customWidth="1"/>
  </cols>
  <sheetData>
    <row r="1" spans="1:4" ht="20.25" x14ac:dyDescent="0.3">
      <c r="A1" s="8" t="s">
        <v>73</v>
      </c>
      <c r="B1" s="8"/>
      <c r="C1" s="8"/>
      <c r="D1" s="8"/>
    </row>
    <row r="2" spans="1:4" x14ac:dyDescent="0.25">
      <c r="A2" s="7" t="s">
        <v>74</v>
      </c>
      <c r="B2" s="7"/>
      <c r="C2" s="7"/>
      <c r="D2" s="7"/>
    </row>
    <row r="4" spans="1:4" x14ac:dyDescent="0.25">
      <c r="A4" s="9" t="s">
        <v>75</v>
      </c>
      <c r="B4" s="1" t="s">
        <v>76</v>
      </c>
      <c r="C4" s="1"/>
      <c r="D4" s="1"/>
    </row>
    <row r="5" spans="1:4" x14ac:dyDescent="0.25">
      <c r="A5" s="9" t="s">
        <v>77</v>
      </c>
      <c r="B5" s="1" t="s">
        <v>78</v>
      </c>
      <c r="C5" s="1"/>
      <c r="D5" s="1"/>
    </row>
    <row r="6" spans="1:4" x14ac:dyDescent="0.25">
      <c r="A6" s="9" t="s">
        <v>79</v>
      </c>
      <c r="B6" s="1" t="s">
        <v>80</v>
      </c>
      <c r="C6" s="1"/>
      <c r="D6" s="1"/>
    </row>
    <row r="7" spans="1:4" x14ac:dyDescent="0.25">
      <c r="A7" s="9" t="s">
        <v>81</v>
      </c>
      <c r="B7" s="1" t="s">
        <v>82</v>
      </c>
      <c r="C7" s="1"/>
      <c r="D7" s="1"/>
    </row>
    <row r="8" spans="1:4" x14ac:dyDescent="0.25">
      <c r="A8" s="9" t="s">
        <v>83</v>
      </c>
      <c r="B8" s="1" t="s">
        <v>84</v>
      </c>
      <c r="C8" s="1"/>
      <c r="D8" s="1"/>
    </row>
    <row r="9" spans="1:4" x14ac:dyDescent="0.25">
      <c r="A9" s="9" t="s">
        <v>85</v>
      </c>
      <c r="B9" s="1" t="s">
        <v>86</v>
      </c>
      <c r="C9" s="1"/>
      <c r="D9" s="1"/>
    </row>
    <row r="10" spans="1:4" x14ac:dyDescent="0.25">
      <c r="A10" s="9" t="s">
        <v>87</v>
      </c>
      <c r="B10" s="1" t="s">
        <v>88</v>
      </c>
      <c r="C10" s="1"/>
      <c r="D10" s="1"/>
    </row>
    <row r="11" spans="1:4" x14ac:dyDescent="0.25">
      <c r="A11" s="9" t="s">
        <v>89</v>
      </c>
      <c r="B11" s="1" t="s">
        <v>90</v>
      </c>
      <c r="C11" s="1"/>
      <c r="D11" s="1"/>
    </row>
    <row r="12" spans="1:4" x14ac:dyDescent="0.25">
      <c r="A12" s="9" t="s">
        <v>91</v>
      </c>
      <c r="B12" s="1" t="s">
        <v>92</v>
      </c>
      <c r="C12" s="1"/>
      <c r="D12" s="1"/>
    </row>
    <row r="14" spans="1:4" ht="25.5" x14ac:dyDescent="0.25">
      <c r="A14" s="10" t="s">
        <v>93</v>
      </c>
      <c r="B14" s="10" t="s">
        <v>94</v>
      </c>
      <c r="C14" s="10" t="s">
        <v>95</v>
      </c>
      <c r="D14" s="10" t="s">
        <v>37</v>
      </c>
    </row>
    <row r="15" spans="1:4" x14ac:dyDescent="0.25">
      <c r="A15" s="26">
        <v>31413</v>
      </c>
      <c r="B15" s="12">
        <v>22.93</v>
      </c>
      <c r="C15" s="16" t="s">
        <v>78</v>
      </c>
      <c r="D15" s="16"/>
    </row>
    <row r="16" spans="1:4" x14ac:dyDescent="0.25">
      <c r="A16" s="26">
        <v>31444</v>
      </c>
      <c r="B16" s="12">
        <v>15.46</v>
      </c>
      <c r="C16" s="16" t="s">
        <v>78</v>
      </c>
      <c r="D16" s="16"/>
    </row>
    <row r="17" spans="1:4" x14ac:dyDescent="0.25">
      <c r="A17" s="26">
        <v>31472</v>
      </c>
      <c r="B17" s="12">
        <v>12.61</v>
      </c>
      <c r="C17" s="16" t="s">
        <v>78</v>
      </c>
      <c r="D17" s="16"/>
    </row>
    <row r="18" spans="1:4" x14ac:dyDescent="0.25">
      <c r="A18" s="26">
        <v>31503</v>
      </c>
      <c r="B18" s="12">
        <v>12.84</v>
      </c>
      <c r="C18" s="16" t="s">
        <v>78</v>
      </c>
      <c r="D18" s="16"/>
    </row>
    <row r="19" spans="1:4" x14ac:dyDescent="0.25">
      <c r="A19" s="26">
        <v>31533</v>
      </c>
      <c r="B19" s="12">
        <v>15.38</v>
      </c>
      <c r="C19" s="16" t="s">
        <v>78</v>
      </c>
      <c r="D19" s="16"/>
    </row>
    <row r="20" spans="1:4" x14ac:dyDescent="0.25">
      <c r="A20" s="26">
        <v>31564</v>
      </c>
      <c r="B20" s="12">
        <v>13.43</v>
      </c>
      <c r="C20" s="16" t="s">
        <v>78</v>
      </c>
      <c r="D20" s="16"/>
    </row>
    <row r="21" spans="1:4" x14ac:dyDescent="0.25">
      <c r="A21" s="26">
        <v>31594</v>
      </c>
      <c r="B21" s="12">
        <v>11.59</v>
      </c>
      <c r="C21" s="16" t="s">
        <v>78</v>
      </c>
      <c r="D21" s="16"/>
    </row>
    <row r="22" spans="1:4" x14ac:dyDescent="0.25">
      <c r="A22" s="26">
        <v>31625</v>
      </c>
      <c r="B22" s="12">
        <v>15.1</v>
      </c>
      <c r="C22" s="16" t="s">
        <v>78</v>
      </c>
      <c r="D22" s="16"/>
    </row>
    <row r="23" spans="1:4" x14ac:dyDescent="0.25">
      <c r="A23" s="26">
        <v>31656</v>
      </c>
      <c r="B23" s="12">
        <v>14.87</v>
      </c>
      <c r="C23" s="16" t="s">
        <v>78</v>
      </c>
      <c r="D23" s="16"/>
    </row>
    <row r="24" spans="1:4" x14ac:dyDescent="0.25">
      <c r="A24" s="26">
        <v>31686</v>
      </c>
      <c r="B24" s="12">
        <v>14.9</v>
      </c>
      <c r="C24" s="16" t="s">
        <v>78</v>
      </c>
      <c r="D24" s="16"/>
    </row>
    <row r="25" spans="1:4" x14ac:dyDescent="0.25">
      <c r="A25" s="26">
        <v>31717</v>
      </c>
      <c r="B25" s="12">
        <v>15.22</v>
      </c>
      <c r="C25" s="16" t="s">
        <v>78</v>
      </c>
      <c r="D25" s="16"/>
    </row>
    <row r="26" spans="1:4" x14ac:dyDescent="0.25">
      <c r="A26" s="26">
        <v>31747</v>
      </c>
      <c r="B26" s="12">
        <v>16.11</v>
      </c>
      <c r="C26" s="16" t="s">
        <v>78</v>
      </c>
      <c r="D26" s="16"/>
    </row>
    <row r="27" spans="1:4" x14ac:dyDescent="0.25">
      <c r="A27" s="26">
        <v>31778</v>
      </c>
      <c r="B27" s="12">
        <v>18.649999999999999</v>
      </c>
      <c r="C27" s="16" t="s">
        <v>78</v>
      </c>
      <c r="D27" s="16"/>
    </row>
    <row r="28" spans="1:4" x14ac:dyDescent="0.25">
      <c r="A28" s="26">
        <v>31809</v>
      </c>
      <c r="B28" s="12">
        <v>17.75</v>
      </c>
      <c r="C28" s="16" t="s">
        <v>78</v>
      </c>
      <c r="D28" s="16"/>
    </row>
    <row r="29" spans="1:4" x14ac:dyDescent="0.25">
      <c r="A29" s="26">
        <v>31837</v>
      </c>
      <c r="B29" s="12">
        <v>18.3</v>
      </c>
      <c r="C29" s="16" t="s">
        <v>78</v>
      </c>
      <c r="D29" s="16"/>
    </row>
    <row r="30" spans="1:4" x14ac:dyDescent="0.25">
      <c r="A30" s="26">
        <v>31868</v>
      </c>
      <c r="B30" s="12">
        <v>18.68</v>
      </c>
      <c r="C30" s="16" t="s">
        <v>78</v>
      </c>
      <c r="D30" s="16"/>
    </row>
    <row r="31" spans="1:4" x14ac:dyDescent="0.25">
      <c r="A31" s="26">
        <v>31898</v>
      </c>
      <c r="B31" s="12">
        <v>19.440000000000001</v>
      </c>
      <c r="C31" s="16" t="s">
        <v>78</v>
      </c>
      <c r="D31" s="16"/>
    </row>
    <row r="32" spans="1:4" x14ac:dyDescent="0.25">
      <c r="A32" s="26">
        <v>31929</v>
      </c>
      <c r="B32" s="12">
        <v>20.07</v>
      </c>
      <c r="C32" s="16" t="s">
        <v>78</v>
      </c>
      <c r="D32" s="16"/>
    </row>
    <row r="33" spans="1:4" x14ac:dyDescent="0.25">
      <c r="A33" s="26">
        <v>31959</v>
      </c>
      <c r="B33" s="12">
        <v>21.34</v>
      </c>
      <c r="C33" s="16" t="s">
        <v>78</v>
      </c>
      <c r="D33" s="16"/>
    </row>
    <row r="34" spans="1:4" x14ac:dyDescent="0.25">
      <c r="A34" s="26">
        <v>31990</v>
      </c>
      <c r="B34" s="12">
        <v>20.309999999999999</v>
      </c>
      <c r="C34" s="16" t="s">
        <v>78</v>
      </c>
      <c r="D34" s="16"/>
    </row>
    <row r="35" spans="1:4" x14ac:dyDescent="0.25">
      <c r="A35" s="26">
        <v>32021</v>
      </c>
      <c r="B35" s="12">
        <v>19.53</v>
      </c>
      <c r="C35" s="16" t="s">
        <v>78</v>
      </c>
      <c r="D35" s="16"/>
    </row>
    <row r="36" spans="1:4" x14ac:dyDescent="0.25">
      <c r="A36" s="26">
        <v>32051</v>
      </c>
      <c r="B36" s="12">
        <v>19.86</v>
      </c>
      <c r="C36" s="16" t="s">
        <v>78</v>
      </c>
      <c r="D36" s="16"/>
    </row>
    <row r="37" spans="1:4" x14ac:dyDescent="0.25">
      <c r="A37" s="26">
        <v>32082</v>
      </c>
      <c r="B37" s="12">
        <v>18.850000000000001</v>
      </c>
      <c r="C37" s="16" t="s">
        <v>78</v>
      </c>
      <c r="D37" s="16"/>
    </row>
    <row r="38" spans="1:4" x14ac:dyDescent="0.25">
      <c r="A38" s="26">
        <v>32112</v>
      </c>
      <c r="B38" s="12">
        <v>17.28</v>
      </c>
      <c r="C38" s="16" t="s">
        <v>78</v>
      </c>
      <c r="D38" s="16"/>
    </row>
    <row r="39" spans="1:4" x14ac:dyDescent="0.25">
      <c r="A39" s="26">
        <v>32143</v>
      </c>
      <c r="B39" s="12">
        <v>17.13</v>
      </c>
      <c r="C39" s="16" t="s">
        <v>78</v>
      </c>
      <c r="D39" s="16"/>
    </row>
    <row r="40" spans="1:4" x14ac:dyDescent="0.25">
      <c r="A40" s="26">
        <v>32174</v>
      </c>
      <c r="B40" s="12">
        <v>16.8</v>
      </c>
      <c r="C40" s="16" t="s">
        <v>78</v>
      </c>
      <c r="D40" s="16"/>
    </row>
    <row r="41" spans="1:4" x14ac:dyDescent="0.25">
      <c r="A41" s="26">
        <v>32203</v>
      </c>
      <c r="B41" s="12">
        <v>16.2</v>
      </c>
      <c r="C41" s="16" t="s">
        <v>78</v>
      </c>
      <c r="D41" s="16"/>
    </row>
    <row r="42" spans="1:4" x14ac:dyDescent="0.25">
      <c r="A42" s="26">
        <v>32234</v>
      </c>
      <c r="B42" s="12">
        <v>17.86</v>
      </c>
      <c r="C42" s="16" t="s">
        <v>78</v>
      </c>
      <c r="D42" s="16"/>
    </row>
    <row r="43" spans="1:4" x14ac:dyDescent="0.25">
      <c r="A43" s="26">
        <v>32264</v>
      </c>
      <c r="B43" s="12">
        <v>17.420000000000002</v>
      </c>
      <c r="C43" s="16" t="s">
        <v>78</v>
      </c>
      <c r="D43" s="16"/>
    </row>
    <row r="44" spans="1:4" x14ac:dyDescent="0.25">
      <c r="A44" s="26">
        <v>32295</v>
      </c>
      <c r="B44" s="12">
        <v>16.53</v>
      </c>
      <c r="C44" s="16" t="s">
        <v>78</v>
      </c>
      <c r="D44" s="16"/>
    </row>
    <row r="45" spans="1:4" x14ac:dyDescent="0.25">
      <c r="A45" s="26">
        <v>32325</v>
      </c>
      <c r="B45" s="12">
        <v>15.5</v>
      </c>
      <c r="C45" s="16" t="s">
        <v>78</v>
      </c>
      <c r="D45" s="16"/>
    </row>
    <row r="46" spans="1:4" x14ac:dyDescent="0.25">
      <c r="A46" s="26">
        <v>32356</v>
      </c>
      <c r="B46" s="12">
        <v>15.52</v>
      </c>
      <c r="C46" s="16" t="s">
        <v>78</v>
      </c>
      <c r="D46" s="16"/>
    </row>
    <row r="47" spans="1:4" x14ac:dyDescent="0.25">
      <c r="A47" s="26">
        <v>32387</v>
      </c>
      <c r="B47" s="12">
        <v>14.54</v>
      </c>
      <c r="C47" s="16" t="s">
        <v>78</v>
      </c>
      <c r="D47" s="16"/>
    </row>
    <row r="48" spans="1:4" x14ac:dyDescent="0.25">
      <c r="A48" s="26">
        <v>32417</v>
      </c>
      <c r="B48" s="12">
        <v>13.77</v>
      </c>
      <c r="C48" s="16" t="s">
        <v>78</v>
      </c>
      <c r="D48" s="16"/>
    </row>
    <row r="49" spans="1:4" x14ac:dyDescent="0.25">
      <c r="A49" s="26">
        <v>32448</v>
      </c>
      <c r="B49" s="12">
        <v>14.14</v>
      </c>
      <c r="C49" s="16" t="s">
        <v>78</v>
      </c>
      <c r="D49" s="16"/>
    </row>
    <row r="50" spans="1:4" x14ac:dyDescent="0.25">
      <c r="A50" s="26">
        <v>32478</v>
      </c>
      <c r="B50" s="12">
        <v>16.38</v>
      </c>
      <c r="C50" s="16" t="s">
        <v>78</v>
      </c>
      <c r="D50" s="16"/>
    </row>
    <row r="51" spans="1:4" x14ac:dyDescent="0.25">
      <c r="A51" s="26">
        <v>32509</v>
      </c>
      <c r="B51" s="12">
        <v>18.02</v>
      </c>
      <c r="C51" s="16" t="s">
        <v>78</v>
      </c>
      <c r="D51" s="16"/>
    </row>
    <row r="52" spans="1:4" x14ac:dyDescent="0.25">
      <c r="A52" s="26">
        <v>32540</v>
      </c>
      <c r="B52" s="12">
        <v>17.940000000000001</v>
      </c>
      <c r="C52" s="16" t="s">
        <v>78</v>
      </c>
      <c r="D52" s="16"/>
    </row>
    <row r="53" spans="1:4" x14ac:dyDescent="0.25">
      <c r="A53" s="26">
        <v>32568</v>
      </c>
      <c r="B53" s="12">
        <v>19.48</v>
      </c>
      <c r="C53" s="16" t="s">
        <v>78</v>
      </c>
      <c r="D53" s="16"/>
    </row>
    <row r="54" spans="1:4" x14ac:dyDescent="0.25">
      <c r="A54" s="26">
        <v>32599</v>
      </c>
      <c r="B54" s="12">
        <v>21.07</v>
      </c>
      <c r="C54" s="16" t="s">
        <v>78</v>
      </c>
      <c r="D54" s="16"/>
    </row>
    <row r="55" spans="1:4" x14ac:dyDescent="0.25">
      <c r="A55" s="26">
        <v>32629</v>
      </c>
      <c r="B55" s="12">
        <v>20.12</v>
      </c>
      <c r="C55" s="16" t="s">
        <v>78</v>
      </c>
      <c r="D55" s="16"/>
    </row>
    <row r="56" spans="1:4" x14ac:dyDescent="0.25">
      <c r="A56" s="26">
        <v>32660</v>
      </c>
      <c r="B56" s="12">
        <v>20.05</v>
      </c>
      <c r="C56" s="16" t="s">
        <v>78</v>
      </c>
      <c r="D56" s="16"/>
    </row>
    <row r="57" spans="1:4" x14ac:dyDescent="0.25">
      <c r="A57" s="26">
        <v>32690</v>
      </c>
      <c r="B57" s="12">
        <v>19.78</v>
      </c>
      <c r="C57" s="16" t="s">
        <v>78</v>
      </c>
      <c r="D57" s="16"/>
    </row>
    <row r="58" spans="1:4" x14ac:dyDescent="0.25">
      <c r="A58" s="26">
        <v>32721</v>
      </c>
      <c r="B58" s="12">
        <v>18.579999999999998</v>
      </c>
      <c r="C58" s="16" t="s">
        <v>78</v>
      </c>
      <c r="D58" s="16"/>
    </row>
    <row r="59" spans="1:4" x14ac:dyDescent="0.25">
      <c r="A59" s="26">
        <v>32752</v>
      </c>
      <c r="B59" s="12">
        <v>19.59</v>
      </c>
      <c r="C59" s="16" t="s">
        <v>78</v>
      </c>
      <c r="D59" s="16"/>
    </row>
    <row r="60" spans="1:4" x14ac:dyDescent="0.25">
      <c r="A60" s="26">
        <v>32782</v>
      </c>
      <c r="B60" s="12">
        <v>20.100000000000001</v>
      </c>
      <c r="C60" s="16" t="s">
        <v>78</v>
      </c>
      <c r="D60" s="16"/>
    </row>
    <row r="61" spans="1:4" x14ac:dyDescent="0.25">
      <c r="A61" s="26">
        <v>32813</v>
      </c>
      <c r="B61" s="12">
        <v>19.86</v>
      </c>
      <c r="C61" s="16" t="s">
        <v>78</v>
      </c>
      <c r="D61" s="16"/>
    </row>
    <row r="62" spans="1:4" x14ac:dyDescent="0.25">
      <c r="A62" s="26">
        <v>32843</v>
      </c>
      <c r="B62" s="12">
        <v>21.1</v>
      </c>
      <c r="C62" s="16" t="s">
        <v>78</v>
      </c>
      <c r="D62" s="16"/>
    </row>
    <row r="63" spans="1:4" x14ac:dyDescent="0.25">
      <c r="A63" s="26">
        <v>32874</v>
      </c>
      <c r="B63" s="12">
        <v>22.86</v>
      </c>
      <c r="C63" s="16" t="s">
        <v>78</v>
      </c>
      <c r="D63" s="16"/>
    </row>
    <row r="64" spans="1:4" x14ac:dyDescent="0.25">
      <c r="A64" s="26">
        <v>32905</v>
      </c>
      <c r="B64" s="12">
        <v>22.11</v>
      </c>
      <c r="C64" s="16" t="s">
        <v>78</v>
      </c>
      <c r="D64" s="16"/>
    </row>
    <row r="65" spans="1:4" x14ac:dyDescent="0.25">
      <c r="A65" s="26">
        <v>32933</v>
      </c>
      <c r="B65" s="12">
        <v>20.39</v>
      </c>
      <c r="C65" s="16" t="s">
        <v>78</v>
      </c>
      <c r="D65" s="16"/>
    </row>
    <row r="66" spans="1:4" x14ac:dyDescent="0.25">
      <c r="A66" s="26">
        <v>32964</v>
      </c>
      <c r="B66" s="12">
        <v>18.43</v>
      </c>
      <c r="C66" s="16" t="s">
        <v>78</v>
      </c>
      <c r="D66" s="16"/>
    </row>
    <row r="67" spans="1:4" x14ac:dyDescent="0.25">
      <c r="A67" s="26">
        <v>32994</v>
      </c>
      <c r="B67" s="12">
        <v>18.2</v>
      </c>
      <c r="C67" s="16" t="s">
        <v>78</v>
      </c>
      <c r="D67" s="16"/>
    </row>
    <row r="68" spans="1:4" x14ac:dyDescent="0.25">
      <c r="A68" s="26">
        <v>33025</v>
      </c>
      <c r="B68" s="12">
        <v>16.7</v>
      </c>
      <c r="C68" s="16" t="s">
        <v>78</v>
      </c>
      <c r="D68" s="16"/>
    </row>
    <row r="69" spans="1:4" x14ac:dyDescent="0.25">
      <c r="A69" s="26">
        <v>33055</v>
      </c>
      <c r="B69" s="12">
        <v>18.45</v>
      </c>
      <c r="C69" s="16" t="s">
        <v>78</v>
      </c>
      <c r="D69" s="16"/>
    </row>
    <row r="70" spans="1:4" x14ac:dyDescent="0.25">
      <c r="A70" s="26">
        <v>33086</v>
      </c>
      <c r="B70" s="12">
        <v>27.31</v>
      </c>
      <c r="C70" s="16" t="s">
        <v>78</v>
      </c>
      <c r="D70" s="16"/>
    </row>
    <row r="71" spans="1:4" x14ac:dyDescent="0.25">
      <c r="A71" s="26">
        <v>33117</v>
      </c>
      <c r="B71" s="12">
        <v>33.51</v>
      </c>
      <c r="C71" s="16" t="s">
        <v>78</v>
      </c>
      <c r="D71" s="16"/>
    </row>
    <row r="72" spans="1:4" x14ac:dyDescent="0.25">
      <c r="A72" s="26">
        <v>33147</v>
      </c>
      <c r="B72" s="12">
        <v>36.04</v>
      </c>
      <c r="C72" s="16" t="s">
        <v>78</v>
      </c>
      <c r="D72" s="16"/>
    </row>
    <row r="73" spans="1:4" x14ac:dyDescent="0.25">
      <c r="A73" s="26">
        <v>33178</v>
      </c>
      <c r="B73" s="12">
        <v>32.33</v>
      </c>
      <c r="C73" s="16" t="s">
        <v>78</v>
      </c>
      <c r="D73" s="16"/>
    </row>
    <row r="74" spans="1:4" x14ac:dyDescent="0.25">
      <c r="A74" s="26">
        <v>33208</v>
      </c>
      <c r="B74" s="12">
        <v>27.28</v>
      </c>
      <c r="C74" s="16" t="s">
        <v>78</v>
      </c>
      <c r="D74" s="16"/>
    </row>
    <row r="75" spans="1:4" x14ac:dyDescent="0.25">
      <c r="A75" s="26">
        <v>33239</v>
      </c>
      <c r="B75" s="12">
        <v>25.23</v>
      </c>
      <c r="C75" s="16" t="s">
        <v>78</v>
      </c>
      <c r="D75" s="16"/>
    </row>
    <row r="76" spans="1:4" x14ac:dyDescent="0.25">
      <c r="A76" s="26">
        <v>33270</v>
      </c>
      <c r="B76" s="12">
        <v>20.48</v>
      </c>
      <c r="C76" s="16" t="s">
        <v>78</v>
      </c>
      <c r="D76" s="16"/>
    </row>
    <row r="77" spans="1:4" x14ac:dyDescent="0.25">
      <c r="A77" s="26">
        <v>33298</v>
      </c>
      <c r="B77" s="12">
        <v>19.899999999999999</v>
      </c>
      <c r="C77" s="16" t="s">
        <v>78</v>
      </c>
      <c r="D77" s="16"/>
    </row>
    <row r="78" spans="1:4" x14ac:dyDescent="0.25">
      <c r="A78" s="26">
        <v>33329</v>
      </c>
      <c r="B78" s="12">
        <v>20.83</v>
      </c>
      <c r="C78" s="16" t="s">
        <v>78</v>
      </c>
      <c r="D78" s="16"/>
    </row>
    <row r="79" spans="1:4" x14ac:dyDescent="0.25">
      <c r="A79" s="26">
        <v>33359</v>
      </c>
      <c r="B79" s="12">
        <v>21.23</v>
      </c>
      <c r="C79" s="16" t="s">
        <v>78</v>
      </c>
      <c r="D79" s="16"/>
    </row>
    <row r="80" spans="1:4" x14ac:dyDescent="0.25">
      <c r="A80" s="26">
        <v>33390</v>
      </c>
      <c r="B80" s="12">
        <v>20.190000000000001</v>
      </c>
      <c r="C80" s="16" t="s">
        <v>78</v>
      </c>
      <c r="D80" s="16"/>
    </row>
    <row r="81" spans="1:4" x14ac:dyDescent="0.25">
      <c r="A81" s="26">
        <v>33420</v>
      </c>
      <c r="B81" s="12">
        <v>21.4</v>
      </c>
      <c r="C81" s="16" t="s">
        <v>78</v>
      </c>
      <c r="D81" s="16"/>
    </row>
    <row r="82" spans="1:4" x14ac:dyDescent="0.25">
      <c r="A82" s="26">
        <v>33451</v>
      </c>
      <c r="B82" s="12">
        <v>21.69</v>
      </c>
      <c r="C82" s="16" t="s">
        <v>78</v>
      </c>
      <c r="D82" s="16"/>
    </row>
    <row r="83" spans="1:4" x14ac:dyDescent="0.25">
      <c r="A83" s="26">
        <v>33482</v>
      </c>
      <c r="B83" s="12">
        <v>21.89</v>
      </c>
      <c r="C83" s="16" t="s">
        <v>78</v>
      </c>
      <c r="D83" s="16"/>
    </row>
    <row r="84" spans="1:4" x14ac:dyDescent="0.25">
      <c r="A84" s="26">
        <v>33512</v>
      </c>
      <c r="B84" s="12">
        <v>23.23</v>
      </c>
      <c r="C84" s="16" t="s">
        <v>78</v>
      </c>
      <c r="D84" s="16"/>
    </row>
    <row r="85" spans="1:4" x14ac:dyDescent="0.25">
      <c r="A85" s="26">
        <v>33543</v>
      </c>
      <c r="B85" s="12">
        <v>22.46</v>
      </c>
      <c r="C85" s="16" t="s">
        <v>78</v>
      </c>
      <c r="D85" s="16"/>
    </row>
    <row r="86" spans="1:4" x14ac:dyDescent="0.25">
      <c r="A86" s="26">
        <v>33573</v>
      </c>
      <c r="B86" s="12">
        <v>19.5</v>
      </c>
      <c r="C86" s="16" t="s">
        <v>78</v>
      </c>
      <c r="D86" s="16"/>
    </row>
    <row r="87" spans="1:4" x14ac:dyDescent="0.25">
      <c r="A87" s="26">
        <v>33604</v>
      </c>
      <c r="B87" s="12">
        <v>18.79</v>
      </c>
      <c r="C87" s="16" t="s">
        <v>78</v>
      </c>
      <c r="D87" s="16"/>
    </row>
    <row r="88" spans="1:4" x14ac:dyDescent="0.25">
      <c r="A88" s="26">
        <v>33635</v>
      </c>
      <c r="B88" s="12">
        <v>19.010000000000002</v>
      </c>
      <c r="C88" s="16" t="s">
        <v>78</v>
      </c>
      <c r="D88" s="16"/>
    </row>
    <row r="89" spans="1:4" x14ac:dyDescent="0.25">
      <c r="A89" s="26">
        <v>33664</v>
      </c>
      <c r="B89" s="12">
        <v>18.920000000000002</v>
      </c>
      <c r="C89" s="16" t="s">
        <v>78</v>
      </c>
      <c r="D89" s="16"/>
    </row>
    <row r="90" spans="1:4" x14ac:dyDescent="0.25">
      <c r="A90" s="26">
        <v>33695</v>
      </c>
      <c r="B90" s="12">
        <v>20.23</v>
      </c>
      <c r="C90" s="16" t="s">
        <v>78</v>
      </c>
      <c r="D90" s="16"/>
    </row>
    <row r="91" spans="1:4" x14ac:dyDescent="0.25">
      <c r="A91" s="26">
        <v>33725</v>
      </c>
      <c r="B91" s="12">
        <v>20.98</v>
      </c>
      <c r="C91" s="16" t="s">
        <v>78</v>
      </c>
      <c r="D91" s="16"/>
    </row>
    <row r="92" spans="1:4" x14ac:dyDescent="0.25">
      <c r="A92" s="26">
        <v>33756</v>
      </c>
      <c r="B92" s="12">
        <v>22.39</v>
      </c>
      <c r="C92" s="16" t="s">
        <v>78</v>
      </c>
      <c r="D92" s="16"/>
    </row>
    <row r="93" spans="1:4" x14ac:dyDescent="0.25">
      <c r="A93" s="26">
        <v>33786</v>
      </c>
      <c r="B93" s="12">
        <v>21.78</v>
      </c>
      <c r="C93" s="16" t="s">
        <v>78</v>
      </c>
      <c r="D93" s="16"/>
    </row>
    <row r="94" spans="1:4" x14ac:dyDescent="0.25">
      <c r="A94" s="26">
        <v>33817</v>
      </c>
      <c r="B94" s="12">
        <v>21.34</v>
      </c>
      <c r="C94" s="16" t="s">
        <v>78</v>
      </c>
      <c r="D94" s="16"/>
    </row>
    <row r="95" spans="1:4" x14ac:dyDescent="0.25">
      <c r="A95" s="26">
        <v>33848</v>
      </c>
      <c r="B95" s="12">
        <v>21.88</v>
      </c>
      <c r="C95" s="16" t="s">
        <v>78</v>
      </c>
      <c r="D95" s="16"/>
    </row>
    <row r="96" spans="1:4" x14ac:dyDescent="0.25">
      <c r="A96" s="26">
        <v>33878</v>
      </c>
      <c r="B96" s="12">
        <v>21.69</v>
      </c>
      <c r="C96" s="16" t="s">
        <v>78</v>
      </c>
      <c r="D96" s="16"/>
    </row>
    <row r="97" spans="1:4" x14ac:dyDescent="0.25">
      <c r="A97" s="26">
        <v>33909</v>
      </c>
      <c r="B97" s="12">
        <v>20.34</v>
      </c>
      <c r="C97" s="16" t="s">
        <v>78</v>
      </c>
      <c r="D97" s="16"/>
    </row>
    <row r="98" spans="1:4" x14ac:dyDescent="0.25">
      <c r="A98" s="26">
        <v>33939</v>
      </c>
      <c r="B98" s="12">
        <v>19.41</v>
      </c>
      <c r="C98" s="16" t="s">
        <v>78</v>
      </c>
      <c r="D98" s="16"/>
    </row>
    <row r="99" spans="1:4" x14ac:dyDescent="0.25">
      <c r="A99" s="26">
        <v>33970</v>
      </c>
      <c r="B99" s="12">
        <v>19.03</v>
      </c>
      <c r="C99" s="16" t="s">
        <v>78</v>
      </c>
      <c r="D99" s="16"/>
    </row>
    <row r="100" spans="1:4" x14ac:dyDescent="0.25">
      <c r="A100" s="26">
        <v>34001</v>
      </c>
      <c r="B100" s="12">
        <v>20.09</v>
      </c>
      <c r="C100" s="16" t="s">
        <v>78</v>
      </c>
      <c r="D100" s="16"/>
    </row>
    <row r="101" spans="1:4" x14ac:dyDescent="0.25">
      <c r="A101" s="26">
        <v>34029</v>
      </c>
      <c r="B101" s="12">
        <v>20.32</v>
      </c>
      <c r="C101" s="16" t="s">
        <v>78</v>
      </c>
      <c r="D101" s="16"/>
    </row>
    <row r="102" spans="1:4" x14ac:dyDescent="0.25">
      <c r="A102" s="26">
        <v>34060</v>
      </c>
      <c r="B102" s="12">
        <v>20.25</v>
      </c>
      <c r="C102" s="16" t="s">
        <v>78</v>
      </c>
      <c r="D102" s="16"/>
    </row>
    <row r="103" spans="1:4" x14ac:dyDescent="0.25">
      <c r="A103" s="26">
        <v>34090</v>
      </c>
      <c r="B103" s="12">
        <v>19.95</v>
      </c>
      <c r="C103" s="16" t="s">
        <v>78</v>
      </c>
      <c r="D103" s="16"/>
    </row>
    <row r="104" spans="1:4" x14ac:dyDescent="0.25">
      <c r="A104" s="26">
        <v>34121</v>
      </c>
      <c r="B104" s="12">
        <v>19.09</v>
      </c>
      <c r="C104" s="16" t="s">
        <v>78</v>
      </c>
      <c r="D104" s="16"/>
    </row>
    <row r="105" spans="1:4" x14ac:dyDescent="0.25">
      <c r="A105" s="26">
        <v>34151</v>
      </c>
      <c r="B105" s="12">
        <v>17.89</v>
      </c>
      <c r="C105" s="16" t="s">
        <v>78</v>
      </c>
      <c r="D105" s="16"/>
    </row>
    <row r="106" spans="1:4" x14ac:dyDescent="0.25">
      <c r="A106" s="26">
        <v>34182</v>
      </c>
      <c r="B106" s="12">
        <v>18.010000000000002</v>
      </c>
      <c r="C106" s="16" t="s">
        <v>78</v>
      </c>
      <c r="D106" s="16"/>
    </row>
    <row r="107" spans="1:4" x14ac:dyDescent="0.25">
      <c r="A107" s="26">
        <v>34213</v>
      </c>
      <c r="B107" s="12">
        <v>17.5</v>
      </c>
      <c r="C107" s="16" t="s">
        <v>78</v>
      </c>
      <c r="D107" s="16"/>
    </row>
    <row r="108" spans="1:4" x14ac:dyDescent="0.25">
      <c r="A108" s="26">
        <v>34243</v>
      </c>
      <c r="B108" s="12">
        <v>18.149999999999999</v>
      </c>
      <c r="C108" s="16" t="s">
        <v>78</v>
      </c>
      <c r="D108" s="16"/>
    </row>
    <row r="109" spans="1:4" x14ac:dyDescent="0.25">
      <c r="A109" s="26">
        <v>34274</v>
      </c>
      <c r="B109" s="12">
        <v>16.61</v>
      </c>
      <c r="C109" s="16" t="s">
        <v>78</v>
      </c>
      <c r="D109" s="16"/>
    </row>
    <row r="110" spans="1:4" x14ac:dyDescent="0.25">
      <c r="A110" s="26">
        <v>34304</v>
      </c>
      <c r="B110" s="12">
        <v>14.52</v>
      </c>
      <c r="C110" s="16" t="s">
        <v>78</v>
      </c>
      <c r="D110" s="16"/>
    </row>
    <row r="111" spans="1:4" x14ac:dyDescent="0.25">
      <c r="A111" s="26">
        <v>34335</v>
      </c>
      <c r="B111" s="12">
        <v>15.03</v>
      </c>
      <c r="C111" s="16" t="s">
        <v>78</v>
      </c>
      <c r="D111" s="16"/>
    </row>
    <row r="112" spans="1:4" x14ac:dyDescent="0.25">
      <c r="A112" s="26">
        <v>34366</v>
      </c>
      <c r="B112" s="12">
        <v>14.78</v>
      </c>
      <c r="C112" s="16" t="s">
        <v>78</v>
      </c>
      <c r="D112" s="16"/>
    </row>
    <row r="113" spans="1:4" x14ac:dyDescent="0.25">
      <c r="A113" s="26">
        <v>34394</v>
      </c>
      <c r="B113" s="12">
        <v>14.68</v>
      </c>
      <c r="C113" s="16" t="s">
        <v>78</v>
      </c>
      <c r="D113" s="16"/>
    </row>
    <row r="114" spans="1:4" x14ac:dyDescent="0.25">
      <c r="A114" s="26">
        <v>34425</v>
      </c>
      <c r="B114" s="12">
        <v>16.420000000000002</v>
      </c>
      <c r="C114" s="16" t="s">
        <v>78</v>
      </c>
      <c r="D114" s="16"/>
    </row>
    <row r="115" spans="1:4" x14ac:dyDescent="0.25">
      <c r="A115" s="26">
        <v>34455</v>
      </c>
      <c r="B115" s="12">
        <v>17.89</v>
      </c>
      <c r="C115" s="16" t="s">
        <v>78</v>
      </c>
      <c r="D115" s="16"/>
    </row>
    <row r="116" spans="1:4" x14ac:dyDescent="0.25">
      <c r="A116" s="26">
        <v>34486</v>
      </c>
      <c r="B116" s="12">
        <v>19.059999999999999</v>
      </c>
      <c r="C116" s="16" t="s">
        <v>78</v>
      </c>
      <c r="D116" s="16"/>
    </row>
    <row r="117" spans="1:4" x14ac:dyDescent="0.25">
      <c r="A117" s="26">
        <v>34516</v>
      </c>
      <c r="B117" s="12">
        <v>19.66</v>
      </c>
      <c r="C117" s="16" t="s">
        <v>78</v>
      </c>
      <c r="D117" s="16"/>
    </row>
    <row r="118" spans="1:4" x14ac:dyDescent="0.25">
      <c r="A118" s="26">
        <v>34547</v>
      </c>
      <c r="B118" s="12">
        <v>18.38</v>
      </c>
      <c r="C118" s="16" t="s">
        <v>78</v>
      </c>
      <c r="D118" s="16"/>
    </row>
    <row r="119" spans="1:4" x14ac:dyDescent="0.25">
      <c r="A119" s="26">
        <v>34578</v>
      </c>
      <c r="B119" s="12">
        <v>17.45</v>
      </c>
      <c r="C119" s="16" t="s">
        <v>78</v>
      </c>
      <c r="D119" s="16"/>
    </row>
    <row r="120" spans="1:4" x14ac:dyDescent="0.25">
      <c r="A120" s="26">
        <v>34608</v>
      </c>
      <c r="B120" s="12">
        <v>17.72</v>
      </c>
      <c r="C120" s="16" t="s">
        <v>78</v>
      </c>
      <c r="D120" s="16"/>
    </row>
    <row r="121" spans="1:4" x14ac:dyDescent="0.25">
      <c r="A121" s="26">
        <v>34639</v>
      </c>
      <c r="B121" s="12">
        <v>18.07</v>
      </c>
      <c r="C121" s="16" t="s">
        <v>78</v>
      </c>
      <c r="D121" s="16"/>
    </row>
    <row r="122" spans="1:4" x14ac:dyDescent="0.25">
      <c r="A122" s="26">
        <v>34669</v>
      </c>
      <c r="B122" s="12">
        <v>17.16</v>
      </c>
      <c r="C122" s="16" t="s">
        <v>78</v>
      </c>
      <c r="D122" s="16"/>
    </row>
    <row r="123" spans="1:4" x14ac:dyDescent="0.25">
      <c r="A123" s="26">
        <v>34700</v>
      </c>
      <c r="B123" s="12">
        <v>18.04</v>
      </c>
      <c r="C123" s="16" t="s">
        <v>78</v>
      </c>
      <c r="D123" s="16"/>
    </row>
    <row r="124" spans="1:4" x14ac:dyDescent="0.25">
      <c r="A124" s="26">
        <v>34731</v>
      </c>
      <c r="B124" s="12">
        <v>18.57</v>
      </c>
      <c r="C124" s="16" t="s">
        <v>78</v>
      </c>
      <c r="D124" s="16"/>
    </row>
    <row r="125" spans="1:4" x14ac:dyDescent="0.25">
      <c r="A125" s="26">
        <v>34759</v>
      </c>
      <c r="B125" s="12">
        <v>18.54</v>
      </c>
      <c r="C125" s="16" t="s">
        <v>78</v>
      </c>
      <c r="D125" s="16"/>
    </row>
    <row r="126" spans="1:4" x14ac:dyDescent="0.25">
      <c r="A126" s="26">
        <v>34790</v>
      </c>
      <c r="B126" s="12">
        <v>19.899999999999999</v>
      </c>
      <c r="C126" s="16" t="s">
        <v>78</v>
      </c>
      <c r="D126" s="16"/>
    </row>
    <row r="127" spans="1:4" x14ac:dyDescent="0.25">
      <c r="A127" s="26">
        <v>34820</v>
      </c>
      <c r="B127" s="12">
        <v>19.739999999999998</v>
      </c>
      <c r="C127" s="16" t="s">
        <v>78</v>
      </c>
      <c r="D127" s="16"/>
    </row>
    <row r="128" spans="1:4" x14ac:dyDescent="0.25">
      <c r="A128" s="26">
        <v>34851</v>
      </c>
      <c r="B128" s="12">
        <v>18.45</v>
      </c>
      <c r="C128" s="16" t="s">
        <v>78</v>
      </c>
      <c r="D128" s="16"/>
    </row>
    <row r="129" spans="1:4" x14ac:dyDescent="0.25">
      <c r="A129" s="26">
        <v>34881</v>
      </c>
      <c r="B129" s="12">
        <v>17.329999999999998</v>
      </c>
      <c r="C129" s="16" t="s">
        <v>78</v>
      </c>
      <c r="D129" s="16"/>
    </row>
    <row r="130" spans="1:4" x14ac:dyDescent="0.25">
      <c r="A130" s="26">
        <v>34912</v>
      </c>
      <c r="B130" s="12">
        <v>18.02</v>
      </c>
      <c r="C130" s="16" t="s">
        <v>78</v>
      </c>
      <c r="D130" s="16"/>
    </row>
    <row r="131" spans="1:4" x14ac:dyDescent="0.25">
      <c r="A131" s="26">
        <v>34943</v>
      </c>
      <c r="B131" s="12">
        <v>18.23</v>
      </c>
      <c r="C131" s="16" t="s">
        <v>78</v>
      </c>
      <c r="D131" s="16"/>
    </row>
    <row r="132" spans="1:4" x14ac:dyDescent="0.25">
      <c r="A132" s="26">
        <v>34973</v>
      </c>
      <c r="B132" s="12">
        <v>17.43</v>
      </c>
      <c r="C132" s="16" t="s">
        <v>78</v>
      </c>
      <c r="D132" s="16"/>
    </row>
    <row r="133" spans="1:4" x14ac:dyDescent="0.25">
      <c r="A133" s="26">
        <v>35004</v>
      </c>
      <c r="B133" s="12">
        <v>17.989999999999998</v>
      </c>
      <c r="C133" s="16" t="s">
        <v>78</v>
      </c>
      <c r="D133" s="16"/>
    </row>
    <row r="134" spans="1:4" x14ac:dyDescent="0.25">
      <c r="A134" s="26">
        <v>35034</v>
      </c>
      <c r="B134" s="12">
        <v>19.03</v>
      </c>
      <c r="C134" s="16" t="s">
        <v>78</v>
      </c>
      <c r="D134" s="16"/>
    </row>
    <row r="135" spans="1:4" x14ac:dyDescent="0.25">
      <c r="A135" s="26">
        <v>35065</v>
      </c>
      <c r="B135" s="12">
        <v>18.86</v>
      </c>
      <c r="C135" s="16" t="s">
        <v>78</v>
      </c>
      <c r="D135" s="16"/>
    </row>
    <row r="136" spans="1:4" x14ac:dyDescent="0.25">
      <c r="A136" s="26">
        <v>35096</v>
      </c>
      <c r="B136" s="12">
        <v>19.09</v>
      </c>
      <c r="C136" s="16" t="s">
        <v>78</v>
      </c>
      <c r="D136" s="16"/>
    </row>
    <row r="137" spans="1:4" x14ac:dyDescent="0.25">
      <c r="A137" s="26">
        <v>35125</v>
      </c>
      <c r="B137" s="12">
        <v>21.33</v>
      </c>
      <c r="C137" s="16" t="s">
        <v>78</v>
      </c>
      <c r="D137" s="16"/>
    </row>
    <row r="138" spans="1:4" x14ac:dyDescent="0.25">
      <c r="A138" s="26">
        <v>35156</v>
      </c>
      <c r="B138" s="12">
        <v>23.5</v>
      </c>
      <c r="C138" s="16" t="s">
        <v>78</v>
      </c>
      <c r="D138" s="16"/>
    </row>
    <row r="139" spans="1:4" x14ac:dyDescent="0.25">
      <c r="A139" s="26">
        <v>35186</v>
      </c>
      <c r="B139" s="12">
        <v>21.17</v>
      </c>
      <c r="C139" s="16" t="s">
        <v>78</v>
      </c>
      <c r="D139" s="16"/>
    </row>
    <row r="140" spans="1:4" x14ac:dyDescent="0.25">
      <c r="A140" s="26">
        <v>35217</v>
      </c>
      <c r="B140" s="12">
        <v>20.420000000000002</v>
      </c>
      <c r="C140" s="16" t="s">
        <v>78</v>
      </c>
      <c r="D140" s="16"/>
    </row>
    <row r="141" spans="1:4" x14ac:dyDescent="0.25">
      <c r="A141" s="26">
        <v>35247</v>
      </c>
      <c r="B141" s="12">
        <v>21.3</v>
      </c>
      <c r="C141" s="16" t="s">
        <v>78</v>
      </c>
      <c r="D141" s="16"/>
    </row>
    <row r="142" spans="1:4" x14ac:dyDescent="0.25">
      <c r="A142" s="26">
        <v>35278</v>
      </c>
      <c r="B142" s="12">
        <v>21.9</v>
      </c>
      <c r="C142" s="16" t="s">
        <v>78</v>
      </c>
      <c r="D142" s="16"/>
    </row>
    <row r="143" spans="1:4" x14ac:dyDescent="0.25">
      <c r="A143" s="26">
        <v>35309</v>
      </c>
      <c r="B143" s="12">
        <v>23.97</v>
      </c>
      <c r="C143" s="16" t="s">
        <v>78</v>
      </c>
      <c r="D143" s="16"/>
    </row>
    <row r="144" spans="1:4" x14ac:dyDescent="0.25">
      <c r="A144" s="26">
        <v>35339</v>
      </c>
      <c r="B144" s="12">
        <v>24.88</v>
      </c>
      <c r="C144" s="16" t="s">
        <v>78</v>
      </c>
      <c r="D144" s="16"/>
    </row>
    <row r="145" spans="1:4" x14ac:dyDescent="0.25">
      <c r="A145" s="26">
        <v>35370</v>
      </c>
      <c r="B145" s="12">
        <v>23.71</v>
      </c>
      <c r="C145" s="16" t="s">
        <v>78</v>
      </c>
      <c r="D145" s="16"/>
    </row>
    <row r="146" spans="1:4" x14ac:dyDescent="0.25">
      <c r="A146" s="26">
        <v>35400</v>
      </c>
      <c r="B146" s="12">
        <v>25.23</v>
      </c>
      <c r="C146" s="16" t="s">
        <v>78</v>
      </c>
      <c r="D146" s="16"/>
    </row>
    <row r="147" spans="1:4" x14ac:dyDescent="0.25">
      <c r="A147" s="26">
        <v>35431</v>
      </c>
      <c r="B147" s="12">
        <v>25.13</v>
      </c>
      <c r="C147" s="16" t="s">
        <v>78</v>
      </c>
      <c r="D147" s="16"/>
    </row>
    <row r="148" spans="1:4" x14ac:dyDescent="0.25">
      <c r="A148" s="26">
        <v>35462</v>
      </c>
      <c r="B148" s="12">
        <v>22.18</v>
      </c>
      <c r="C148" s="16" t="s">
        <v>78</v>
      </c>
      <c r="D148" s="16"/>
    </row>
    <row r="149" spans="1:4" x14ac:dyDescent="0.25">
      <c r="A149" s="26">
        <v>35490</v>
      </c>
      <c r="B149" s="12">
        <v>20.97</v>
      </c>
      <c r="C149" s="16" t="s">
        <v>78</v>
      </c>
      <c r="D149" s="16"/>
    </row>
    <row r="150" spans="1:4" x14ac:dyDescent="0.25">
      <c r="A150" s="26">
        <v>35521</v>
      </c>
      <c r="B150" s="12">
        <v>19.7</v>
      </c>
      <c r="C150" s="16" t="s">
        <v>78</v>
      </c>
      <c r="D150" s="16"/>
    </row>
    <row r="151" spans="1:4" x14ac:dyDescent="0.25">
      <c r="A151" s="26">
        <v>35551</v>
      </c>
      <c r="B151" s="12">
        <v>20.82</v>
      </c>
      <c r="C151" s="16" t="s">
        <v>78</v>
      </c>
      <c r="D151" s="16"/>
    </row>
    <row r="152" spans="1:4" x14ac:dyDescent="0.25">
      <c r="A152" s="26">
        <v>35582</v>
      </c>
      <c r="B152" s="12">
        <v>19.260000000000002</v>
      </c>
      <c r="C152" s="16" t="s">
        <v>78</v>
      </c>
      <c r="D152" s="16"/>
    </row>
    <row r="153" spans="1:4" x14ac:dyDescent="0.25">
      <c r="A153" s="26">
        <v>35612</v>
      </c>
      <c r="B153" s="12">
        <v>19.66</v>
      </c>
      <c r="C153" s="16" t="s">
        <v>78</v>
      </c>
      <c r="D153" s="16"/>
    </row>
    <row r="154" spans="1:4" x14ac:dyDescent="0.25">
      <c r="A154" s="26">
        <v>35643</v>
      </c>
      <c r="B154" s="12">
        <v>19.95</v>
      </c>
      <c r="C154" s="16" t="s">
        <v>78</v>
      </c>
      <c r="D154" s="16"/>
    </row>
    <row r="155" spans="1:4" x14ac:dyDescent="0.25">
      <c r="A155" s="26">
        <v>35674</v>
      </c>
      <c r="B155" s="12">
        <v>19.8</v>
      </c>
      <c r="C155" s="16" t="s">
        <v>78</v>
      </c>
      <c r="D155" s="16"/>
    </row>
    <row r="156" spans="1:4" x14ac:dyDescent="0.25">
      <c r="A156" s="26">
        <v>35704</v>
      </c>
      <c r="B156" s="12">
        <v>21.33</v>
      </c>
      <c r="C156" s="16" t="s">
        <v>78</v>
      </c>
      <c r="D156" s="16"/>
    </row>
    <row r="157" spans="1:4" x14ac:dyDescent="0.25">
      <c r="A157" s="26">
        <v>35735</v>
      </c>
      <c r="B157" s="12">
        <v>20.190000000000001</v>
      </c>
      <c r="C157" s="16" t="s">
        <v>78</v>
      </c>
      <c r="D157" s="16"/>
    </row>
    <row r="158" spans="1:4" x14ac:dyDescent="0.25">
      <c r="A158" s="26">
        <v>35765</v>
      </c>
      <c r="B158" s="12">
        <v>18.329999999999998</v>
      </c>
      <c r="C158" s="16" t="s">
        <v>78</v>
      </c>
      <c r="D158" s="16"/>
    </row>
    <row r="159" spans="1:4" x14ac:dyDescent="0.25">
      <c r="A159" s="26">
        <v>35796</v>
      </c>
      <c r="B159" s="12">
        <v>16.72</v>
      </c>
      <c r="C159" s="16" t="s">
        <v>78</v>
      </c>
      <c r="D159" s="16"/>
    </row>
    <row r="160" spans="1:4" x14ac:dyDescent="0.25">
      <c r="A160" s="26">
        <v>35827</v>
      </c>
      <c r="B160" s="12">
        <v>16.059999999999999</v>
      </c>
      <c r="C160" s="16" t="s">
        <v>78</v>
      </c>
      <c r="D160" s="16"/>
    </row>
    <row r="161" spans="1:4" x14ac:dyDescent="0.25">
      <c r="A161" s="26">
        <v>35855</v>
      </c>
      <c r="B161" s="12">
        <v>15.12</v>
      </c>
      <c r="C161" s="16" t="s">
        <v>78</v>
      </c>
      <c r="D161" s="16"/>
    </row>
    <row r="162" spans="1:4" x14ac:dyDescent="0.25">
      <c r="A162" s="26">
        <v>35886</v>
      </c>
      <c r="B162" s="12">
        <v>15.35</v>
      </c>
      <c r="C162" s="16" t="s">
        <v>78</v>
      </c>
      <c r="D162" s="16"/>
    </row>
    <row r="163" spans="1:4" x14ac:dyDescent="0.25">
      <c r="A163" s="26">
        <v>35916</v>
      </c>
      <c r="B163" s="12">
        <v>14.91</v>
      </c>
      <c r="C163" s="16" t="s">
        <v>78</v>
      </c>
      <c r="D163" s="16"/>
    </row>
    <row r="164" spans="1:4" x14ac:dyDescent="0.25">
      <c r="A164" s="26">
        <v>35947</v>
      </c>
      <c r="B164" s="12">
        <v>13.72</v>
      </c>
      <c r="C164" s="16" t="s">
        <v>78</v>
      </c>
      <c r="D164" s="16"/>
    </row>
    <row r="165" spans="1:4" x14ac:dyDescent="0.25">
      <c r="A165" s="26">
        <v>35977</v>
      </c>
      <c r="B165" s="12">
        <v>14.17</v>
      </c>
      <c r="C165" s="16" t="s">
        <v>78</v>
      </c>
      <c r="D165" s="16"/>
    </row>
    <row r="166" spans="1:4" x14ac:dyDescent="0.25">
      <c r="A166" s="26">
        <v>36008</v>
      </c>
      <c r="B166" s="12">
        <v>13.47</v>
      </c>
      <c r="C166" s="16" t="s">
        <v>78</v>
      </c>
      <c r="D166" s="16"/>
    </row>
    <row r="167" spans="1:4" x14ac:dyDescent="0.25">
      <c r="A167" s="26">
        <v>36039</v>
      </c>
      <c r="B167" s="12">
        <v>15.03</v>
      </c>
      <c r="C167" s="16" t="s">
        <v>78</v>
      </c>
      <c r="D167" s="16"/>
    </row>
    <row r="168" spans="1:4" x14ac:dyDescent="0.25">
      <c r="A168" s="26">
        <v>36069</v>
      </c>
      <c r="B168" s="12">
        <v>14.46</v>
      </c>
      <c r="C168" s="16" t="s">
        <v>78</v>
      </c>
      <c r="D168" s="16"/>
    </row>
    <row r="169" spans="1:4" x14ac:dyDescent="0.25">
      <c r="A169" s="26">
        <v>36100</v>
      </c>
      <c r="B169" s="12">
        <v>13</v>
      </c>
      <c r="C169" s="16" t="s">
        <v>78</v>
      </c>
      <c r="D169" s="16"/>
    </row>
    <row r="170" spans="1:4" x14ac:dyDescent="0.25">
      <c r="A170" s="26">
        <v>36130</v>
      </c>
      <c r="B170" s="12">
        <v>11.35</v>
      </c>
      <c r="C170" s="16" t="s">
        <v>78</v>
      </c>
      <c r="D170" s="16"/>
    </row>
    <row r="171" spans="1:4" x14ac:dyDescent="0.25">
      <c r="A171" s="26">
        <v>36161</v>
      </c>
      <c r="B171" s="12">
        <v>12.52</v>
      </c>
      <c r="C171" s="16" t="s">
        <v>78</v>
      </c>
      <c r="D171" s="16"/>
    </row>
    <row r="172" spans="1:4" x14ac:dyDescent="0.25">
      <c r="A172" s="26">
        <v>36192</v>
      </c>
      <c r="B172" s="12">
        <v>12.01</v>
      </c>
      <c r="C172" s="16" t="s">
        <v>78</v>
      </c>
      <c r="D172" s="16"/>
    </row>
    <row r="173" spans="1:4" x14ac:dyDescent="0.25">
      <c r="A173" s="26">
        <v>36220</v>
      </c>
      <c r="B173" s="12">
        <v>14.68</v>
      </c>
      <c r="C173" s="16" t="s">
        <v>78</v>
      </c>
      <c r="D173" s="16"/>
    </row>
    <row r="174" spans="1:4" x14ac:dyDescent="0.25">
      <c r="A174" s="26">
        <v>36251</v>
      </c>
      <c r="B174" s="12">
        <v>17.309999999999999</v>
      </c>
      <c r="C174" s="16" t="s">
        <v>78</v>
      </c>
      <c r="D174" s="16"/>
    </row>
    <row r="175" spans="1:4" x14ac:dyDescent="0.25">
      <c r="A175" s="26">
        <v>36281</v>
      </c>
      <c r="B175" s="12">
        <v>17.72</v>
      </c>
      <c r="C175" s="16" t="s">
        <v>78</v>
      </c>
      <c r="D175" s="16"/>
    </row>
    <row r="176" spans="1:4" x14ac:dyDescent="0.25">
      <c r="A176" s="26">
        <v>36312</v>
      </c>
      <c r="B176" s="12">
        <v>17.920000000000002</v>
      </c>
      <c r="C176" s="16" t="s">
        <v>78</v>
      </c>
      <c r="D176" s="16"/>
    </row>
    <row r="177" spans="1:4" x14ac:dyDescent="0.25">
      <c r="A177" s="26">
        <v>36342</v>
      </c>
      <c r="B177" s="12">
        <v>20.100000000000001</v>
      </c>
      <c r="C177" s="16" t="s">
        <v>78</v>
      </c>
      <c r="D177" s="16"/>
    </row>
    <row r="178" spans="1:4" x14ac:dyDescent="0.25">
      <c r="A178" s="26">
        <v>36373</v>
      </c>
      <c r="B178" s="12">
        <v>21.28</v>
      </c>
      <c r="C178" s="16" t="s">
        <v>78</v>
      </c>
      <c r="D178" s="16"/>
    </row>
    <row r="179" spans="1:4" x14ac:dyDescent="0.25">
      <c r="A179" s="26">
        <v>36404</v>
      </c>
      <c r="B179" s="12">
        <v>23.8</v>
      </c>
      <c r="C179" s="16" t="s">
        <v>78</v>
      </c>
      <c r="D179" s="16"/>
    </row>
    <row r="180" spans="1:4" x14ac:dyDescent="0.25">
      <c r="A180" s="26">
        <v>36434</v>
      </c>
      <c r="B180" s="12">
        <v>22.69</v>
      </c>
      <c r="C180" s="16" t="s">
        <v>78</v>
      </c>
      <c r="D180" s="16"/>
    </row>
    <row r="181" spans="1:4" x14ac:dyDescent="0.25">
      <c r="A181" s="26">
        <v>36465</v>
      </c>
      <c r="B181" s="12">
        <v>25</v>
      </c>
      <c r="C181" s="16" t="s">
        <v>78</v>
      </c>
      <c r="D181" s="16"/>
    </row>
    <row r="182" spans="1:4" x14ac:dyDescent="0.25">
      <c r="A182" s="26">
        <v>36495</v>
      </c>
      <c r="B182" s="12">
        <v>26.1</v>
      </c>
      <c r="C182" s="16" t="s">
        <v>78</v>
      </c>
      <c r="D182" s="16"/>
    </row>
    <row r="183" spans="1:4" x14ac:dyDescent="0.25">
      <c r="A183" s="26">
        <v>36526</v>
      </c>
      <c r="B183" s="12">
        <v>27.26</v>
      </c>
      <c r="C183" s="16" t="s">
        <v>78</v>
      </c>
      <c r="D183" s="16"/>
    </row>
    <row r="184" spans="1:4" x14ac:dyDescent="0.25">
      <c r="A184" s="26">
        <v>36557</v>
      </c>
      <c r="B184" s="12">
        <v>29.37</v>
      </c>
      <c r="C184" s="16" t="s">
        <v>78</v>
      </c>
      <c r="D184" s="16"/>
    </row>
    <row r="185" spans="1:4" x14ac:dyDescent="0.25">
      <c r="A185" s="26">
        <v>36586</v>
      </c>
      <c r="B185" s="12">
        <v>29.84</v>
      </c>
      <c r="C185" s="16" t="s">
        <v>78</v>
      </c>
      <c r="D185" s="16"/>
    </row>
    <row r="186" spans="1:4" x14ac:dyDescent="0.25">
      <c r="A186" s="26">
        <v>36617</v>
      </c>
      <c r="B186" s="12">
        <v>25.72</v>
      </c>
      <c r="C186" s="16" t="s">
        <v>78</v>
      </c>
      <c r="D186" s="16"/>
    </row>
    <row r="187" spans="1:4" x14ac:dyDescent="0.25">
      <c r="A187" s="26">
        <v>36647</v>
      </c>
      <c r="B187" s="12">
        <v>28.79</v>
      </c>
      <c r="C187" s="16" t="s">
        <v>78</v>
      </c>
      <c r="D187" s="16"/>
    </row>
    <row r="188" spans="1:4" x14ac:dyDescent="0.25">
      <c r="A188" s="26">
        <v>36678</v>
      </c>
      <c r="B188" s="12">
        <v>31.82</v>
      </c>
      <c r="C188" s="16" t="s">
        <v>78</v>
      </c>
      <c r="D188" s="16"/>
    </row>
    <row r="189" spans="1:4" x14ac:dyDescent="0.25">
      <c r="A189" s="26">
        <v>36708</v>
      </c>
      <c r="B189" s="12">
        <v>29.7</v>
      </c>
      <c r="C189" s="16" t="s">
        <v>78</v>
      </c>
      <c r="D189" s="16"/>
    </row>
    <row r="190" spans="1:4" x14ac:dyDescent="0.25">
      <c r="A190" s="26">
        <v>36739</v>
      </c>
      <c r="B190" s="12">
        <v>31.26</v>
      </c>
      <c r="C190" s="16" t="s">
        <v>78</v>
      </c>
      <c r="D190" s="16"/>
    </row>
    <row r="191" spans="1:4" x14ac:dyDescent="0.25">
      <c r="A191" s="26">
        <v>36770</v>
      </c>
      <c r="B191" s="12">
        <v>33.880000000000003</v>
      </c>
      <c r="C191" s="16" t="s">
        <v>78</v>
      </c>
      <c r="D191" s="16"/>
    </row>
    <row r="192" spans="1:4" x14ac:dyDescent="0.25">
      <c r="A192" s="26">
        <v>36800</v>
      </c>
      <c r="B192" s="12">
        <v>33.11</v>
      </c>
      <c r="C192" s="16" t="s">
        <v>78</v>
      </c>
      <c r="D192" s="16"/>
    </row>
    <row r="193" spans="1:4" x14ac:dyDescent="0.25">
      <c r="A193" s="26">
        <v>36831</v>
      </c>
      <c r="B193" s="12">
        <v>34.42</v>
      </c>
      <c r="C193" s="16" t="s">
        <v>78</v>
      </c>
      <c r="D193" s="16"/>
    </row>
    <row r="194" spans="1:4" x14ac:dyDescent="0.25">
      <c r="A194" s="26">
        <v>36861</v>
      </c>
      <c r="B194" s="12">
        <v>28.44</v>
      </c>
      <c r="C194" s="16" t="s">
        <v>78</v>
      </c>
      <c r="D194" s="16"/>
    </row>
    <row r="195" spans="1:4" x14ac:dyDescent="0.25">
      <c r="A195" s="26">
        <v>36892</v>
      </c>
      <c r="B195" s="12">
        <v>29.59</v>
      </c>
      <c r="C195" s="16" t="s">
        <v>78</v>
      </c>
      <c r="D195" s="16"/>
    </row>
    <row r="196" spans="1:4" x14ac:dyDescent="0.25">
      <c r="A196" s="26">
        <v>36923</v>
      </c>
      <c r="B196" s="12">
        <v>29.61</v>
      </c>
      <c r="C196" s="16" t="s">
        <v>78</v>
      </c>
      <c r="D196" s="16"/>
    </row>
    <row r="197" spans="1:4" x14ac:dyDescent="0.25">
      <c r="A197" s="26">
        <v>36951</v>
      </c>
      <c r="B197" s="12">
        <v>27.25</v>
      </c>
      <c r="C197" s="16" t="s">
        <v>78</v>
      </c>
      <c r="D197" s="16"/>
    </row>
    <row r="198" spans="1:4" x14ac:dyDescent="0.25">
      <c r="A198" s="26">
        <v>36982</v>
      </c>
      <c r="B198" s="12">
        <v>27.49</v>
      </c>
      <c r="C198" s="16" t="s">
        <v>78</v>
      </c>
      <c r="D198" s="16"/>
    </row>
    <row r="199" spans="1:4" x14ac:dyDescent="0.25">
      <c r="A199" s="26">
        <v>37012</v>
      </c>
      <c r="B199" s="12">
        <v>28.63</v>
      </c>
      <c r="C199" s="16" t="s">
        <v>78</v>
      </c>
      <c r="D199" s="16"/>
    </row>
    <row r="200" spans="1:4" x14ac:dyDescent="0.25">
      <c r="A200" s="26">
        <v>37043</v>
      </c>
      <c r="B200" s="12">
        <v>27.6</v>
      </c>
      <c r="C200" s="16" t="s">
        <v>78</v>
      </c>
      <c r="D200" s="16"/>
    </row>
    <row r="201" spans="1:4" x14ac:dyDescent="0.25">
      <c r="A201" s="26">
        <v>37073</v>
      </c>
      <c r="B201" s="12">
        <v>26.43</v>
      </c>
      <c r="C201" s="16" t="s">
        <v>78</v>
      </c>
      <c r="D201" s="16"/>
    </row>
    <row r="202" spans="1:4" x14ac:dyDescent="0.25">
      <c r="A202" s="26">
        <v>37104</v>
      </c>
      <c r="B202" s="12">
        <v>27.37</v>
      </c>
      <c r="C202" s="16" t="s">
        <v>78</v>
      </c>
      <c r="D202" s="16"/>
    </row>
    <row r="203" spans="1:4" x14ac:dyDescent="0.25">
      <c r="A203" s="26">
        <v>37135</v>
      </c>
      <c r="B203" s="12">
        <v>26.2</v>
      </c>
      <c r="C203" s="16" t="s">
        <v>78</v>
      </c>
      <c r="D203" s="16"/>
    </row>
    <row r="204" spans="1:4" x14ac:dyDescent="0.25">
      <c r="A204" s="26">
        <v>37165</v>
      </c>
      <c r="B204" s="12">
        <v>22.17</v>
      </c>
      <c r="C204" s="16" t="s">
        <v>78</v>
      </c>
      <c r="D204" s="16"/>
    </row>
    <row r="205" spans="1:4" x14ac:dyDescent="0.25">
      <c r="A205" s="26">
        <v>37196</v>
      </c>
      <c r="B205" s="12">
        <v>19.64</v>
      </c>
      <c r="C205" s="16" t="s">
        <v>78</v>
      </c>
      <c r="D205" s="16"/>
    </row>
    <row r="206" spans="1:4" x14ac:dyDescent="0.25">
      <c r="A206" s="26">
        <v>37226</v>
      </c>
      <c r="B206" s="12">
        <v>19.39</v>
      </c>
      <c r="C206" s="16" t="s">
        <v>78</v>
      </c>
      <c r="D206" s="16"/>
    </row>
    <row r="207" spans="1:4" x14ac:dyDescent="0.25">
      <c r="A207" s="26">
        <v>37257</v>
      </c>
      <c r="B207" s="12">
        <v>19.72</v>
      </c>
      <c r="C207" s="16" t="s">
        <v>78</v>
      </c>
      <c r="D207" s="16"/>
    </row>
    <row r="208" spans="1:4" x14ac:dyDescent="0.25">
      <c r="A208" s="26">
        <v>37288</v>
      </c>
      <c r="B208" s="12">
        <v>20.72</v>
      </c>
      <c r="C208" s="16" t="s">
        <v>78</v>
      </c>
      <c r="D208" s="16"/>
    </row>
    <row r="209" spans="1:4" x14ac:dyDescent="0.25">
      <c r="A209" s="26">
        <v>37316</v>
      </c>
      <c r="B209" s="12">
        <v>24.53</v>
      </c>
      <c r="C209" s="16" t="s">
        <v>78</v>
      </c>
      <c r="D209" s="16"/>
    </row>
    <row r="210" spans="1:4" x14ac:dyDescent="0.25">
      <c r="A210" s="26">
        <v>37347</v>
      </c>
      <c r="B210" s="12">
        <v>26.18</v>
      </c>
      <c r="C210" s="16" t="s">
        <v>78</v>
      </c>
      <c r="D210" s="16"/>
    </row>
    <row r="211" spans="1:4" x14ac:dyDescent="0.25">
      <c r="A211" s="26">
        <v>37377</v>
      </c>
      <c r="B211" s="12">
        <v>27.04</v>
      </c>
      <c r="C211" s="16" t="s">
        <v>78</v>
      </c>
      <c r="D211" s="16"/>
    </row>
    <row r="212" spans="1:4" x14ac:dyDescent="0.25">
      <c r="A212" s="26">
        <v>37408</v>
      </c>
      <c r="B212" s="12">
        <v>25.52</v>
      </c>
      <c r="C212" s="16" t="s">
        <v>78</v>
      </c>
      <c r="D212" s="16"/>
    </row>
    <row r="213" spans="1:4" x14ac:dyDescent="0.25">
      <c r="A213" s="26">
        <v>37438</v>
      </c>
      <c r="B213" s="12">
        <v>26.97</v>
      </c>
      <c r="C213" s="16" t="s">
        <v>78</v>
      </c>
      <c r="D213" s="16"/>
    </row>
    <row r="214" spans="1:4" x14ac:dyDescent="0.25">
      <c r="A214" s="26">
        <v>37469</v>
      </c>
      <c r="B214" s="12">
        <v>28.39</v>
      </c>
      <c r="C214" s="16" t="s">
        <v>78</v>
      </c>
      <c r="D214" s="16"/>
    </row>
    <row r="215" spans="1:4" x14ac:dyDescent="0.25">
      <c r="A215" s="26">
        <v>37500</v>
      </c>
      <c r="B215" s="12">
        <v>29.66</v>
      </c>
      <c r="C215" s="16" t="s">
        <v>78</v>
      </c>
      <c r="D215" s="16"/>
    </row>
    <row r="216" spans="1:4" x14ac:dyDescent="0.25">
      <c r="A216" s="26">
        <v>37530</v>
      </c>
      <c r="B216" s="12">
        <v>28.84</v>
      </c>
      <c r="C216" s="16" t="s">
        <v>78</v>
      </c>
      <c r="D216" s="16"/>
    </row>
    <row r="217" spans="1:4" x14ac:dyDescent="0.25">
      <c r="A217" s="26">
        <v>37561</v>
      </c>
      <c r="B217" s="12">
        <v>26.35</v>
      </c>
      <c r="C217" s="16" t="s">
        <v>78</v>
      </c>
      <c r="D217" s="16"/>
    </row>
    <row r="218" spans="1:4" x14ac:dyDescent="0.25">
      <c r="A218" s="26">
        <v>37591</v>
      </c>
      <c r="B218" s="12">
        <v>29.46</v>
      </c>
      <c r="C218" s="16" t="s">
        <v>78</v>
      </c>
      <c r="D218" s="16"/>
    </row>
    <row r="219" spans="1:4" x14ac:dyDescent="0.25">
      <c r="A219" s="26">
        <v>37622</v>
      </c>
      <c r="B219" s="12">
        <v>32.950000000000003</v>
      </c>
      <c r="C219" s="16" t="s">
        <v>78</v>
      </c>
      <c r="D219" s="16"/>
    </row>
    <row r="220" spans="1:4" x14ac:dyDescent="0.25">
      <c r="A220" s="26">
        <v>37653</v>
      </c>
      <c r="B220" s="12">
        <v>35.83</v>
      </c>
      <c r="C220" s="16" t="s">
        <v>78</v>
      </c>
      <c r="D220" s="16"/>
    </row>
    <row r="221" spans="1:4" x14ac:dyDescent="0.25">
      <c r="A221" s="26">
        <v>37681</v>
      </c>
      <c r="B221" s="12">
        <v>33.51</v>
      </c>
      <c r="C221" s="16" t="s">
        <v>78</v>
      </c>
      <c r="D221" s="16"/>
    </row>
    <row r="222" spans="1:4" x14ac:dyDescent="0.25">
      <c r="A222" s="26">
        <v>37712</v>
      </c>
      <c r="B222" s="12">
        <v>28.17</v>
      </c>
      <c r="C222" s="16" t="s">
        <v>78</v>
      </c>
      <c r="D222" s="16"/>
    </row>
    <row r="223" spans="1:4" x14ac:dyDescent="0.25">
      <c r="A223" s="26">
        <v>37742</v>
      </c>
      <c r="B223" s="12">
        <v>28.11</v>
      </c>
      <c r="C223" s="16" t="s">
        <v>78</v>
      </c>
      <c r="D223" s="16"/>
    </row>
    <row r="224" spans="1:4" x14ac:dyDescent="0.25">
      <c r="A224" s="26">
        <v>37773</v>
      </c>
      <c r="B224" s="12">
        <v>30.66</v>
      </c>
      <c r="C224" s="16" t="s">
        <v>78</v>
      </c>
      <c r="D224" s="16"/>
    </row>
    <row r="225" spans="1:4" x14ac:dyDescent="0.25">
      <c r="A225" s="26">
        <v>37803</v>
      </c>
      <c r="B225" s="12">
        <v>30.76</v>
      </c>
      <c r="C225" s="16" t="s">
        <v>78</v>
      </c>
      <c r="D225" s="16"/>
    </row>
    <row r="226" spans="1:4" x14ac:dyDescent="0.25">
      <c r="A226" s="26">
        <v>37834</v>
      </c>
      <c r="B226" s="12">
        <v>31.57</v>
      </c>
      <c r="C226" s="16" t="s">
        <v>78</v>
      </c>
      <c r="D226" s="16"/>
    </row>
    <row r="227" spans="1:4" x14ac:dyDescent="0.25">
      <c r="A227" s="26">
        <v>37865</v>
      </c>
      <c r="B227" s="12">
        <v>28.31</v>
      </c>
      <c r="C227" s="16" t="s">
        <v>78</v>
      </c>
      <c r="D227" s="16"/>
    </row>
    <row r="228" spans="1:4" x14ac:dyDescent="0.25">
      <c r="A228" s="26">
        <v>37895</v>
      </c>
      <c r="B228" s="12">
        <v>30.34</v>
      </c>
      <c r="C228" s="16" t="s">
        <v>78</v>
      </c>
      <c r="D228" s="16"/>
    </row>
    <row r="229" spans="1:4" x14ac:dyDescent="0.25">
      <c r="A229" s="26">
        <v>37926</v>
      </c>
      <c r="B229" s="12">
        <v>31.11</v>
      </c>
      <c r="C229" s="16" t="s">
        <v>78</v>
      </c>
      <c r="D229" s="16"/>
    </row>
    <row r="230" spans="1:4" x14ac:dyDescent="0.25">
      <c r="A230" s="26">
        <v>37956</v>
      </c>
      <c r="B230" s="12">
        <v>32.130000000000003</v>
      </c>
      <c r="C230" s="16" t="s">
        <v>78</v>
      </c>
      <c r="D230" s="16"/>
    </row>
    <row r="231" spans="1:4" x14ac:dyDescent="0.25">
      <c r="A231" s="26">
        <v>37987</v>
      </c>
      <c r="B231" s="12">
        <v>34.31</v>
      </c>
      <c r="C231" s="16" t="s">
        <v>78</v>
      </c>
      <c r="D231" s="16"/>
    </row>
    <row r="232" spans="1:4" x14ac:dyDescent="0.25">
      <c r="A232" s="26">
        <v>38018</v>
      </c>
      <c r="B232" s="12">
        <v>34.69</v>
      </c>
      <c r="C232" s="16" t="s">
        <v>78</v>
      </c>
      <c r="D232" s="16"/>
    </row>
    <row r="233" spans="1:4" x14ac:dyDescent="0.25">
      <c r="A233" s="26">
        <v>38047</v>
      </c>
      <c r="B233" s="12">
        <v>36.74</v>
      </c>
      <c r="C233" s="16" t="s">
        <v>78</v>
      </c>
      <c r="D233" s="16"/>
    </row>
    <row r="234" spans="1:4" x14ac:dyDescent="0.25">
      <c r="A234" s="26">
        <v>38078</v>
      </c>
      <c r="B234" s="12">
        <v>36.75</v>
      </c>
      <c r="C234" s="16" t="s">
        <v>78</v>
      </c>
      <c r="D234" s="16"/>
    </row>
    <row r="235" spans="1:4" x14ac:dyDescent="0.25">
      <c r="A235" s="26">
        <v>38108</v>
      </c>
      <c r="B235" s="12">
        <v>40.28</v>
      </c>
      <c r="C235" s="16" t="s">
        <v>78</v>
      </c>
      <c r="D235" s="16"/>
    </row>
    <row r="236" spans="1:4" x14ac:dyDescent="0.25">
      <c r="A236" s="26">
        <v>38139</v>
      </c>
      <c r="B236" s="12">
        <v>38.03</v>
      </c>
      <c r="C236" s="16" t="s">
        <v>78</v>
      </c>
      <c r="D236" s="16"/>
    </row>
    <row r="237" spans="1:4" x14ac:dyDescent="0.25">
      <c r="A237" s="26">
        <v>38169</v>
      </c>
      <c r="B237" s="12">
        <v>40.78</v>
      </c>
      <c r="C237" s="16" t="s">
        <v>78</v>
      </c>
      <c r="D237" s="16"/>
    </row>
    <row r="238" spans="1:4" x14ac:dyDescent="0.25">
      <c r="A238" s="26">
        <v>38200</v>
      </c>
      <c r="B238" s="12">
        <v>44.9</v>
      </c>
      <c r="C238" s="16" t="s">
        <v>78</v>
      </c>
      <c r="D238" s="16"/>
    </row>
    <row r="239" spans="1:4" x14ac:dyDescent="0.25">
      <c r="A239" s="26">
        <v>38231</v>
      </c>
      <c r="B239" s="12">
        <v>45.94</v>
      </c>
      <c r="C239" s="16" t="s">
        <v>78</v>
      </c>
      <c r="D239" s="16"/>
    </row>
    <row r="240" spans="1:4" x14ac:dyDescent="0.25">
      <c r="A240" s="26">
        <v>38261</v>
      </c>
      <c r="B240" s="12">
        <v>53.28</v>
      </c>
      <c r="C240" s="16" t="s">
        <v>78</v>
      </c>
      <c r="D240" s="16"/>
    </row>
    <row r="241" spans="1:4" x14ac:dyDescent="0.25">
      <c r="A241" s="26">
        <v>38292</v>
      </c>
      <c r="B241" s="12">
        <v>48.47</v>
      </c>
      <c r="C241" s="16" t="s">
        <v>78</v>
      </c>
      <c r="D241" s="16"/>
    </row>
    <row r="242" spans="1:4" x14ac:dyDescent="0.25">
      <c r="A242" s="26">
        <v>38322</v>
      </c>
      <c r="B242" s="12">
        <v>43.15</v>
      </c>
      <c r="C242" s="16" t="s">
        <v>78</v>
      </c>
      <c r="D242" s="16"/>
    </row>
    <row r="243" spans="1:4" x14ac:dyDescent="0.25">
      <c r="A243" s="26">
        <v>38353</v>
      </c>
      <c r="B243" s="12">
        <v>46.84</v>
      </c>
      <c r="C243" s="16" t="s">
        <v>78</v>
      </c>
      <c r="D243" s="16"/>
    </row>
    <row r="244" spans="1:4" x14ac:dyDescent="0.25">
      <c r="A244" s="26">
        <v>38384</v>
      </c>
      <c r="B244" s="12">
        <v>48.15</v>
      </c>
      <c r="C244" s="16" t="s">
        <v>78</v>
      </c>
      <c r="D244" s="16"/>
    </row>
    <row r="245" spans="1:4" x14ac:dyDescent="0.25">
      <c r="A245" s="26">
        <v>38412</v>
      </c>
      <c r="B245" s="12">
        <v>54.19</v>
      </c>
      <c r="C245" s="16" t="s">
        <v>78</v>
      </c>
      <c r="D245" s="16"/>
    </row>
    <row r="246" spans="1:4" x14ac:dyDescent="0.25">
      <c r="A246" s="26">
        <v>38443</v>
      </c>
      <c r="B246" s="12">
        <v>52.98</v>
      </c>
      <c r="C246" s="16" t="s">
        <v>78</v>
      </c>
      <c r="D246" s="16"/>
    </row>
    <row r="247" spans="1:4" x14ac:dyDescent="0.25">
      <c r="A247" s="26">
        <v>38473</v>
      </c>
      <c r="B247" s="12">
        <v>49.83</v>
      </c>
      <c r="C247" s="16" t="s">
        <v>78</v>
      </c>
      <c r="D247" s="16"/>
    </row>
    <row r="248" spans="1:4" x14ac:dyDescent="0.25">
      <c r="A248" s="26">
        <v>38504</v>
      </c>
      <c r="B248" s="12">
        <v>56.35</v>
      </c>
      <c r="C248" s="16" t="s">
        <v>78</v>
      </c>
      <c r="D248" s="16"/>
    </row>
    <row r="249" spans="1:4" x14ac:dyDescent="0.25">
      <c r="A249" s="26">
        <v>38534</v>
      </c>
      <c r="B249" s="12">
        <v>59</v>
      </c>
      <c r="C249" s="16" t="s">
        <v>78</v>
      </c>
      <c r="D249" s="16"/>
    </row>
    <row r="250" spans="1:4" x14ac:dyDescent="0.25">
      <c r="A250" s="26">
        <v>38565</v>
      </c>
      <c r="B250" s="12">
        <v>64.989999999999995</v>
      </c>
      <c r="C250" s="16" t="s">
        <v>78</v>
      </c>
      <c r="D250" s="16"/>
    </row>
    <row r="251" spans="1:4" x14ac:dyDescent="0.25">
      <c r="A251" s="26">
        <v>38596</v>
      </c>
      <c r="B251" s="12">
        <v>65.59</v>
      </c>
      <c r="C251" s="16" t="s">
        <v>78</v>
      </c>
      <c r="D251" s="16"/>
    </row>
    <row r="252" spans="1:4" x14ac:dyDescent="0.25">
      <c r="A252" s="26">
        <v>38626</v>
      </c>
      <c r="B252" s="12">
        <v>62.26</v>
      </c>
      <c r="C252" s="16" t="s">
        <v>78</v>
      </c>
      <c r="D252" s="16"/>
    </row>
    <row r="253" spans="1:4" x14ac:dyDescent="0.25">
      <c r="A253" s="26">
        <v>38657</v>
      </c>
      <c r="B253" s="12">
        <v>58.32</v>
      </c>
      <c r="C253" s="16" t="s">
        <v>78</v>
      </c>
      <c r="D253" s="16"/>
    </row>
    <row r="254" spans="1:4" x14ac:dyDescent="0.25">
      <c r="A254" s="26">
        <v>38687</v>
      </c>
      <c r="B254" s="12">
        <v>59.41</v>
      </c>
      <c r="C254" s="16" t="s">
        <v>78</v>
      </c>
      <c r="D254" s="16"/>
    </row>
    <row r="255" spans="1:4" x14ac:dyDescent="0.25">
      <c r="A255" s="26">
        <v>38718</v>
      </c>
      <c r="B255" s="12">
        <v>65.489999999999995</v>
      </c>
      <c r="C255" s="16" t="s">
        <v>78</v>
      </c>
      <c r="D255" s="16"/>
    </row>
    <row r="256" spans="1:4" x14ac:dyDescent="0.25">
      <c r="A256" s="26">
        <v>38749</v>
      </c>
      <c r="B256" s="12">
        <v>61.63</v>
      </c>
      <c r="C256" s="16" t="s">
        <v>78</v>
      </c>
      <c r="D256" s="16"/>
    </row>
    <row r="257" spans="1:4" x14ac:dyDescent="0.25">
      <c r="A257" s="26">
        <v>38777</v>
      </c>
      <c r="B257" s="12">
        <v>62.69</v>
      </c>
      <c r="C257" s="16" t="s">
        <v>78</v>
      </c>
      <c r="D257" s="16"/>
    </row>
    <row r="258" spans="1:4" x14ac:dyDescent="0.25">
      <c r="A258" s="26">
        <v>38808</v>
      </c>
      <c r="B258" s="12">
        <v>69.44</v>
      </c>
      <c r="C258" s="16" t="s">
        <v>78</v>
      </c>
      <c r="D258" s="16"/>
    </row>
    <row r="259" spans="1:4" x14ac:dyDescent="0.25">
      <c r="A259" s="26">
        <v>38838</v>
      </c>
      <c r="B259" s="12">
        <v>70.84</v>
      </c>
      <c r="C259" s="16" t="s">
        <v>78</v>
      </c>
      <c r="D259" s="16"/>
    </row>
    <row r="260" spans="1:4" x14ac:dyDescent="0.25">
      <c r="A260" s="26">
        <v>38869</v>
      </c>
      <c r="B260" s="12">
        <v>70.95</v>
      </c>
      <c r="C260" s="16" t="s">
        <v>78</v>
      </c>
      <c r="D260" s="16"/>
    </row>
    <row r="261" spans="1:4" x14ac:dyDescent="0.25">
      <c r="A261" s="26">
        <v>38899</v>
      </c>
      <c r="B261" s="12">
        <v>74.41</v>
      </c>
      <c r="C261" s="16" t="s">
        <v>78</v>
      </c>
      <c r="D261" s="16"/>
    </row>
    <row r="262" spans="1:4" x14ac:dyDescent="0.25">
      <c r="A262" s="26">
        <v>38930</v>
      </c>
      <c r="B262" s="12">
        <v>73.040000000000006</v>
      </c>
      <c r="C262" s="16" t="s">
        <v>78</v>
      </c>
      <c r="D262" s="16"/>
    </row>
    <row r="263" spans="1:4" x14ac:dyDescent="0.25">
      <c r="A263" s="26">
        <v>38961</v>
      </c>
      <c r="B263" s="12">
        <v>63.8</v>
      </c>
      <c r="C263" s="16" t="s">
        <v>78</v>
      </c>
      <c r="D263" s="16"/>
    </row>
    <row r="264" spans="1:4" x14ac:dyDescent="0.25">
      <c r="A264" s="26">
        <v>38991</v>
      </c>
      <c r="B264" s="12">
        <v>58.89</v>
      </c>
      <c r="C264" s="16" t="s">
        <v>78</v>
      </c>
      <c r="D264" s="16"/>
    </row>
    <row r="265" spans="1:4" x14ac:dyDescent="0.25">
      <c r="A265" s="26">
        <v>39022</v>
      </c>
      <c r="B265" s="12">
        <v>59.08</v>
      </c>
      <c r="C265" s="16" t="s">
        <v>78</v>
      </c>
      <c r="D265" s="16"/>
    </row>
    <row r="266" spans="1:4" x14ac:dyDescent="0.25">
      <c r="A266" s="26">
        <v>39052</v>
      </c>
      <c r="B266" s="12">
        <v>61.96</v>
      </c>
      <c r="C266" s="16" t="s">
        <v>78</v>
      </c>
      <c r="D266" s="16"/>
    </row>
    <row r="267" spans="1:4" x14ac:dyDescent="0.25">
      <c r="A267" s="26">
        <v>39083</v>
      </c>
      <c r="B267" s="12">
        <v>54.51</v>
      </c>
      <c r="C267" s="16" t="s">
        <v>78</v>
      </c>
      <c r="D267" s="16"/>
    </row>
    <row r="268" spans="1:4" x14ac:dyDescent="0.25">
      <c r="A268" s="26">
        <v>39114</v>
      </c>
      <c r="B268" s="12">
        <v>59.28</v>
      </c>
      <c r="C268" s="16" t="s">
        <v>78</v>
      </c>
      <c r="D268" s="16"/>
    </row>
    <row r="269" spans="1:4" x14ac:dyDescent="0.25">
      <c r="A269" s="26">
        <v>39142</v>
      </c>
      <c r="B269" s="12">
        <v>60.44</v>
      </c>
      <c r="C269" s="16" t="s">
        <v>78</v>
      </c>
      <c r="D269" s="16"/>
    </row>
    <row r="270" spans="1:4" x14ac:dyDescent="0.25">
      <c r="A270" s="26">
        <v>39173</v>
      </c>
      <c r="B270" s="12">
        <v>63.98</v>
      </c>
      <c r="C270" s="16" t="s">
        <v>78</v>
      </c>
      <c r="D270" s="16"/>
    </row>
    <row r="271" spans="1:4" x14ac:dyDescent="0.25">
      <c r="A271" s="26">
        <v>39203</v>
      </c>
      <c r="B271" s="12">
        <v>63.46</v>
      </c>
      <c r="C271" s="16" t="s">
        <v>78</v>
      </c>
      <c r="D271" s="16"/>
    </row>
    <row r="272" spans="1:4" x14ac:dyDescent="0.25">
      <c r="A272" s="26">
        <v>39234</v>
      </c>
      <c r="B272" s="12">
        <v>67.489999999999995</v>
      </c>
      <c r="C272" s="16" t="s">
        <v>78</v>
      </c>
      <c r="D272" s="16"/>
    </row>
    <row r="273" spans="1:4" x14ac:dyDescent="0.25">
      <c r="A273" s="26">
        <v>39264</v>
      </c>
      <c r="B273" s="12">
        <v>74.12</v>
      </c>
      <c r="C273" s="16" t="s">
        <v>78</v>
      </c>
      <c r="D273" s="16"/>
    </row>
    <row r="274" spans="1:4" x14ac:dyDescent="0.25">
      <c r="A274" s="26">
        <v>39295</v>
      </c>
      <c r="B274" s="12">
        <v>72.36</v>
      </c>
      <c r="C274" s="16" t="s">
        <v>78</v>
      </c>
      <c r="D274" s="16"/>
    </row>
    <row r="275" spans="1:4" x14ac:dyDescent="0.25">
      <c r="A275" s="26">
        <v>39326</v>
      </c>
      <c r="B275" s="12">
        <v>79.92</v>
      </c>
      <c r="C275" s="16" t="s">
        <v>78</v>
      </c>
      <c r="D275" s="16"/>
    </row>
    <row r="276" spans="1:4" x14ac:dyDescent="0.25">
      <c r="A276" s="26">
        <v>39356</v>
      </c>
      <c r="B276" s="12">
        <v>85.8</v>
      </c>
      <c r="C276" s="16" t="s">
        <v>78</v>
      </c>
      <c r="D276" s="16"/>
    </row>
    <row r="277" spans="1:4" x14ac:dyDescent="0.25">
      <c r="A277" s="26">
        <v>39387</v>
      </c>
      <c r="B277" s="12">
        <v>94.77</v>
      </c>
      <c r="C277" s="16" t="s">
        <v>78</v>
      </c>
      <c r="D277" s="16"/>
    </row>
    <row r="278" spans="1:4" x14ac:dyDescent="0.25">
      <c r="A278" s="26">
        <v>39417</v>
      </c>
      <c r="B278" s="12">
        <v>91.69</v>
      </c>
      <c r="C278" s="16" t="s">
        <v>78</v>
      </c>
      <c r="D278" s="16"/>
    </row>
    <row r="279" spans="1:4" x14ac:dyDescent="0.25">
      <c r="A279" s="26">
        <v>39448</v>
      </c>
      <c r="B279" s="12">
        <v>92.97</v>
      </c>
      <c r="C279" s="16" t="s">
        <v>78</v>
      </c>
      <c r="D279" s="16"/>
    </row>
    <row r="280" spans="1:4" x14ac:dyDescent="0.25">
      <c r="A280" s="26">
        <v>39479</v>
      </c>
      <c r="B280" s="12">
        <v>95.39</v>
      </c>
      <c r="C280" s="16" t="s">
        <v>78</v>
      </c>
      <c r="D280" s="16"/>
    </row>
    <row r="281" spans="1:4" x14ac:dyDescent="0.25">
      <c r="A281" s="26">
        <v>39508</v>
      </c>
      <c r="B281" s="12">
        <v>105.45</v>
      </c>
      <c r="C281" s="16" t="s">
        <v>78</v>
      </c>
      <c r="D281" s="16"/>
    </row>
    <row r="282" spans="1:4" x14ac:dyDescent="0.25">
      <c r="A282" s="26">
        <v>39539</v>
      </c>
      <c r="B282" s="12">
        <v>112.58</v>
      </c>
      <c r="C282" s="16" t="s">
        <v>78</v>
      </c>
      <c r="D282" s="16"/>
    </row>
    <row r="283" spans="1:4" x14ac:dyDescent="0.25">
      <c r="A283" s="26">
        <v>39569</v>
      </c>
      <c r="B283" s="12">
        <v>125.4</v>
      </c>
      <c r="C283" s="16" t="s">
        <v>78</v>
      </c>
      <c r="D283" s="16"/>
    </row>
    <row r="284" spans="1:4" x14ac:dyDescent="0.25">
      <c r="A284" s="26">
        <v>39600</v>
      </c>
      <c r="B284" s="12">
        <v>133.88</v>
      </c>
      <c r="C284" s="16" t="s">
        <v>78</v>
      </c>
      <c r="D284" s="16"/>
    </row>
    <row r="285" spans="1:4" x14ac:dyDescent="0.25">
      <c r="A285" s="26">
        <v>39630</v>
      </c>
      <c r="B285" s="12">
        <v>133.37</v>
      </c>
      <c r="C285" s="16" t="s">
        <v>78</v>
      </c>
      <c r="D285" s="16"/>
    </row>
    <row r="286" spans="1:4" x14ac:dyDescent="0.25">
      <c r="A286" s="26">
        <v>39661</v>
      </c>
      <c r="B286" s="12">
        <v>116.67</v>
      </c>
      <c r="C286" s="16" t="s">
        <v>78</v>
      </c>
      <c r="D286" s="16"/>
    </row>
    <row r="287" spans="1:4" x14ac:dyDescent="0.25">
      <c r="A287" s="26">
        <v>39692</v>
      </c>
      <c r="B287" s="12">
        <v>104.11</v>
      </c>
      <c r="C287" s="16" t="s">
        <v>78</v>
      </c>
      <c r="D287" s="16"/>
    </row>
    <row r="288" spans="1:4" x14ac:dyDescent="0.25">
      <c r="A288" s="26">
        <v>39722</v>
      </c>
      <c r="B288" s="12">
        <v>76.61</v>
      </c>
      <c r="C288" s="16" t="s">
        <v>78</v>
      </c>
      <c r="D288" s="16"/>
    </row>
    <row r="289" spans="1:4" x14ac:dyDescent="0.25">
      <c r="A289" s="26">
        <v>39753</v>
      </c>
      <c r="B289" s="12">
        <v>57.31</v>
      </c>
      <c r="C289" s="16" t="s">
        <v>78</v>
      </c>
      <c r="D289" s="16"/>
    </row>
    <row r="290" spans="1:4" x14ac:dyDescent="0.25">
      <c r="A290" s="26">
        <v>39783</v>
      </c>
      <c r="B290" s="12">
        <v>41.12</v>
      </c>
      <c r="C290" s="16" t="s">
        <v>78</v>
      </c>
      <c r="D290" s="16"/>
    </row>
    <row r="291" spans="1:4" x14ac:dyDescent="0.25">
      <c r="A291" s="26">
        <v>39814</v>
      </c>
      <c r="B291" s="12">
        <v>41.71</v>
      </c>
      <c r="C291" s="16" t="s">
        <v>78</v>
      </c>
      <c r="D291" s="16"/>
    </row>
    <row r="292" spans="1:4" x14ac:dyDescent="0.25">
      <c r="A292" s="26">
        <v>39845</v>
      </c>
      <c r="B292" s="12">
        <v>39.090000000000003</v>
      </c>
      <c r="C292" s="16" t="s">
        <v>78</v>
      </c>
      <c r="D292" s="16"/>
    </row>
    <row r="293" spans="1:4" x14ac:dyDescent="0.25">
      <c r="A293" s="26">
        <v>39873</v>
      </c>
      <c r="B293" s="12">
        <v>47.94</v>
      </c>
      <c r="C293" s="16" t="s">
        <v>78</v>
      </c>
      <c r="D293" s="16"/>
    </row>
    <row r="294" spans="1:4" x14ac:dyDescent="0.25">
      <c r="A294" s="26">
        <v>39904</v>
      </c>
      <c r="B294" s="12">
        <v>49.65</v>
      </c>
      <c r="C294" s="16" t="s">
        <v>78</v>
      </c>
      <c r="D294" s="16"/>
    </row>
    <row r="295" spans="1:4" x14ac:dyDescent="0.25">
      <c r="A295" s="26">
        <v>39934</v>
      </c>
      <c r="B295" s="12">
        <v>59.03</v>
      </c>
      <c r="C295" s="16" t="s">
        <v>78</v>
      </c>
      <c r="D295" s="16"/>
    </row>
    <row r="296" spans="1:4" x14ac:dyDescent="0.25">
      <c r="A296" s="26">
        <v>39965</v>
      </c>
      <c r="B296" s="12">
        <v>69.64</v>
      </c>
      <c r="C296" s="16" t="s">
        <v>78</v>
      </c>
      <c r="D296" s="16"/>
    </row>
    <row r="297" spans="1:4" x14ac:dyDescent="0.25">
      <c r="A297" s="26">
        <v>39995</v>
      </c>
      <c r="B297" s="12">
        <v>64.150000000000006</v>
      </c>
      <c r="C297" s="16" t="s">
        <v>78</v>
      </c>
      <c r="D297" s="16"/>
    </row>
    <row r="298" spans="1:4" x14ac:dyDescent="0.25">
      <c r="A298" s="26">
        <v>40026</v>
      </c>
      <c r="B298" s="12">
        <v>71.05</v>
      </c>
      <c r="C298" s="16" t="s">
        <v>78</v>
      </c>
      <c r="D298" s="16"/>
    </row>
    <row r="299" spans="1:4" x14ac:dyDescent="0.25">
      <c r="A299" s="26">
        <v>40057</v>
      </c>
      <c r="B299" s="12">
        <v>69.41</v>
      </c>
      <c r="C299" s="16" t="s">
        <v>78</v>
      </c>
      <c r="D299" s="16"/>
    </row>
    <row r="300" spans="1:4" x14ac:dyDescent="0.25">
      <c r="A300" s="26">
        <v>40087</v>
      </c>
      <c r="B300" s="12">
        <v>75.72</v>
      </c>
      <c r="C300" s="16" t="s">
        <v>78</v>
      </c>
      <c r="D300" s="16"/>
    </row>
    <row r="301" spans="1:4" x14ac:dyDescent="0.25">
      <c r="A301" s="26">
        <v>40118</v>
      </c>
      <c r="B301" s="12">
        <v>77.989999999999995</v>
      </c>
      <c r="C301" s="16" t="s">
        <v>78</v>
      </c>
      <c r="D301" s="16"/>
    </row>
    <row r="302" spans="1:4" x14ac:dyDescent="0.25">
      <c r="A302" s="26">
        <v>40148</v>
      </c>
      <c r="B302" s="12">
        <v>74.47</v>
      </c>
      <c r="C302" s="16" t="s">
        <v>78</v>
      </c>
      <c r="D302" s="16"/>
    </row>
    <row r="303" spans="1:4" x14ac:dyDescent="0.25">
      <c r="A303" s="26">
        <v>40179</v>
      </c>
      <c r="B303" s="12">
        <v>78.33</v>
      </c>
      <c r="C303" s="16" t="s">
        <v>78</v>
      </c>
      <c r="D303" s="16"/>
    </row>
    <row r="304" spans="1:4" x14ac:dyDescent="0.25">
      <c r="A304" s="26">
        <v>40210</v>
      </c>
      <c r="B304" s="12">
        <v>76.39</v>
      </c>
      <c r="C304" s="16" t="s">
        <v>78</v>
      </c>
      <c r="D304" s="16"/>
    </row>
    <row r="305" spans="1:4" x14ac:dyDescent="0.25">
      <c r="A305" s="26">
        <v>40238</v>
      </c>
      <c r="B305" s="12">
        <v>81.2</v>
      </c>
      <c r="C305" s="16" t="s">
        <v>78</v>
      </c>
      <c r="D305" s="16"/>
    </row>
    <row r="306" spans="1:4" x14ac:dyDescent="0.25">
      <c r="A306" s="26">
        <v>40269</v>
      </c>
      <c r="B306" s="12">
        <v>84.29</v>
      </c>
      <c r="C306" s="16" t="s">
        <v>78</v>
      </c>
      <c r="D306" s="16"/>
    </row>
    <row r="307" spans="1:4" x14ac:dyDescent="0.25">
      <c r="A307" s="26">
        <v>40299</v>
      </c>
      <c r="B307" s="12">
        <v>73.739999999999995</v>
      </c>
      <c r="C307" s="16" t="s">
        <v>78</v>
      </c>
      <c r="D307" s="16"/>
    </row>
    <row r="308" spans="1:4" x14ac:dyDescent="0.25">
      <c r="A308" s="26">
        <v>40330</v>
      </c>
      <c r="B308" s="12">
        <v>75.34</v>
      </c>
      <c r="C308" s="16" t="s">
        <v>78</v>
      </c>
      <c r="D308" s="16"/>
    </row>
    <row r="309" spans="1:4" x14ac:dyDescent="0.25">
      <c r="A309" s="26">
        <v>40360</v>
      </c>
      <c r="B309" s="12">
        <v>76.319999999999993</v>
      </c>
      <c r="C309" s="16" t="s">
        <v>78</v>
      </c>
      <c r="D309" s="16"/>
    </row>
    <row r="310" spans="1:4" x14ac:dyDescent="0.25">
      <c r="A310" s="26">
        <v>40391</v>
      </c>
      <c r="B310" s="12">
        <v>76.599999999999994</v>
      </c>
      <c r="C310" s="16" t="s">
        <v>78</v>
      </c>
      <c r="D310" s="16"/>
    </row>
    <row r="311" spans="1:4" x14ac:dyDescent="0.25">
      <c r="A311" s="26">
        <v>40422</v>
      </c>
      <c r="B311" s="12">
        <v>75.239999999999995</v>
      </c>
      <c r="C311" s="16" t="s">
        <v>78</v>
      </c>
      <c r="D311" s="16"/>
    </row>
    <row r="312" spans="1:4" x14ac:dyDescent="0.25">
      <c r="A312" s="26">
        <v>40452</v>
      </c>
      <c r="B312" s="12">
        <v>81.89</v>
      </c>
      <c r="C312" s="16" t="s">
        <v>78</v>
      </c>
      <c r="D312" s="16"/>
    </row>
    <row r="313" spans="1:4" x14ac:dyDescent="0.25">
      <c r="A313" s="26">
        <v>40483</v>
      </c>
      <c r="B313" s="12">
        <v>84.25</v>
      </c>
      <c r="C313" s="16" t="s">
        <v>78</v>
      </c>
      <c r="D313" s="16"/>
    </row>
    <row r="314" spans="1:4" x14ac:dyDescent="0.25">
      <c r="A314" s="26">
        <v>40513</v>
      </c>
      <c r="B314" s="12">
        <v>89.15</v>
      </c>
      <c r="C314" s="16" t="s">
        <v>78</v>
      </c>
      <c r="D314" s="16"/>
    </row>
    <row r="315" spans="1:4" x14ac:dyDescent="0.25">
      <c r="A315" s="26">
        <v>40544</v>
      </c>
      <c r="B315" s="12">
        <v>89.17</v>
      </c>
      <c r="C315" s="16" t="s">
        <v>78</v>
      </c>
      <c r="D315" s="16"/>
    </row>
    <row r="316" spans="1:4" x14ac:dyDescent="0.25">
      <c r="A316" s="26">
        <v>40575</v>
      </c>
      <c r="B316" s="12">
        <v>88.58</v>
      </c>
      <c r="C316" s="16" t="s">
        <v>78</v>
      </c>
      <c r="D316" s="16"/>
    </row>
    <row r="317" spans="1:4" x14ac:dyDescent="0.25">
      <c r="A317" s="26">
        <v>40603</v>
      </c>
      <c r="B317" s="12">
        <v>102.86</v>
      </c>
      <c r="C317" s="16" t="s">
        <v>78</v>
      </c>
      <c r="D317" s="16"/>
    </row>
    <row r="318" spans="1:4" x14ac:dyDescent="0.25">
      <c r="A318" s="26">
        <v>40634</v>
      </c>
      <c r="B318" s="12">
        <v>109.53</v>
      </c>
      <c r="C318" s="16" t="s">
        <v>78</v>
      </c>
      <c r="D318" s="16"/>
    </row>
    <row r="319" spans="1:4" x14ac:dyDescent="0.25">
      <c r="A319" s="26">
        <v>40664</v>
      </c>
      <c r="B319" s="12">
        <v>100.9</v>
      </c>
      <c r="C319" s="16" t="s">
        <v>78</v>
      </c>
      <c r="D319" s="16"/>
    </row>
    <row r="320" spans="1:4" x14ac:dyDescent="0.25">
      <c r="A320" s="26">
        <v>40695</v>
      </c>
      <c r="B320" s="12">
        <v>96.26</v>
      </c>
      <c r="C320" s="16" t="s">
        <v>78</v>
      </c>
      <c r="D320" s="16"/>
    </row>
    <row r="321" spans="1:4" x14ac:dyDescent="0.25">
      <c r="A321" s="26">
        <v>40725</v>
      </c>
      <c r="B321" s="12">
        <v>97.3</v>
      </c>
      <c r="C321" s="16" t="s">
        <v>78</v>
      </c>
      <c r="D321" s="16"/>
    </row>
    <row r="322" spans="1:4" x14ac:dyDescent="0.25">
      <c r="A322" s="26">
        <v>40756</v>
      </c>
      <c r="B322" s="12">
        <v>86.33</v>
      </c>
      <c r="C322" s="16" t="s">
        <v>78</v>
      </c>
      <c r="D322" s="16"/>
    </row>
    <row r="323" spans="1:4" x14ac:dyDescent="0.25">
      <c r="A323" s="26">
        <v>40787</v>
      </c>
      <c r="B323" s="12">
        <v>85.52</v>
      </c>
      <c r="C323" s="16" t="s">
        <v>78</v>
      </c>
      <c r="D323" s="16"/>
    </row>
    <row r="324" spans="1:4" x14ac:dyDescent="0.25">
      <c r="A324" s="26">
        <v>40817</v>
      </c>
      <c r="B324" s="12">
        <v>86.32</v>
      </c>
      <c r="C324" s="16" t="s">
        <v>78</v>
      </c>
      <c r="D324" s="16"/>
    </row>
    <row r="325" spans="1:4" x14ac:dyDescent="0.25">
      <c r="A325" s="26">
        <v>40848</v>
      </c>
      <c r="B325" s="12">
        <v>97.16</v>
      </c>
      <c r="C325" s="16" t="s">
        <v>78</v>
      </c>
      <c r="D325" s="16"/>
    </row>
    <row r="326" spans="1:4" x14ac:dyDescent="0.25">
      <c r="A326" s="26">
        <v>40878</v>
      </c>
      <c r="B326" s="12">
        <v>98.56</v>
      </c>
      <c r="C326" s="16" t="s">
        <v>78</v>
      </c>
      <c r="D326" s="16"/>
    </row>
    <row r="327" spans="1:4" x14ac:dyDescent="0.25">
      <c r="A327" s="26">
        <v>40909</v>
      </c>
      <c r="B327" s="12">
        <v>100.27</v>
      </c>
      <c r="C327" s="16" t="s">
        <v>78</v>
      </c>
      <c r="D327" s="16"/>
    </row>
    <row r="328" spans="1:4" x14ac:dyDescent="0.25">
      <c r="A328" s="26">
        <v>40940</v>
      </c>
      <c r="B328" s="12">
        <v>102.2</v>
      </c>
      <c r="C328" s="16" t="s">
        <v>78</v>
      </c>
      <c r="D328" s="16"/>
    </row>
    <row r="329" spans="1:4" x14ac:dyDescent="0.25">
      <c r="A329" s="26">
        <v>40969</v>
      </c>
      <c r="B329" s="12">
        <v>106.16</v>
      </c>
      <c r="C329" s="16" t="s">
        <v>78</v>
      </c>
      <c r="D329" s="16"/>
    </row>
    <row r="330" spans="1:4" x14ac:dyDescent="0.25">
      <c r="A330" s="26">
        <v>41000</v>
      </c>
      <c r="B330" s="12">
        <v>103.32</v>
      </c>
      <c r="C330" s="16" t="s">
        <v>78</v>
      </c>
      <c r="D330" s="16"/>
    </row>
    <row r="331" spans="1:4" x14ac:dyDescent="0.25">
      <c r="A331" s="26">
        <v>41030</v>
      </c>
      <c r="B331" s="12">
        <v>94.66</v>
      </c>
      <c r="C331" s="16" t="s">
        <v>78</v>
      </c>
      <c r="D331" s="16"/>
    </row>
    <row r="332" spans="1:4" x14ac:dyDescent="0.25">
      <c r="A332" s="26">
        <v>41061</v>
      </c>
      <c r="B332" s="12">
        <v>82.3</v>
      </c>
      <c r="C332" s="16" t="s">
        <v>78</v>
      </c>
      <c r="D332" s="16"/>
    </row>
    <row r="333" spans="1:4" x14ac:dyDescent="0.25">
      <c r="A333" s="26">
        <v>41091</v>
      </c>
      <c r="B333" s="12">
        <v>87.9</v>
      </c>
      <c r="C333" s="16" t="s">
        <v>78</v>
      </c>
      <c r="D333" s="16"/>
    </row>
    <row r="334" spans="1:4" x14ac:dyDescent="0.25">
      <c r="A334" s="26">
        <v>41122</v>
      </c>
      <c r="B334" s="12">
        <v>94.13</v>
      </c>
      <c r="C334" s="16" t="s">
        <v>78</v>
      </c>
      <c r="D334" s="16"/>
    </row>
    <row r="335" spans="1:4" x14ac:dyDescent="0.25">
      <c r="A335" s="26">
        <v>41153</v>
      </c>
      <c r="B335" s="12">
        <v>94.51</v>
      </c>
      <c r="C335" s="16" t="s">
        <v>78</v>
      </c>
      <c r="D335" s="16"/>
    </row>
    <row r="336" spans="1:4" x14ac:dyDescent="0.25">
      <c r="A336" s="26">
        <v>41183</v>
      </c>
      <c r="B336" s="12">
        <v>89.49</v>
      </c>
      <c r="C336" s="16" t="s">
        <v>78</v>
      </c>
      <c r="D336" s="16"/>
    </row>
    <row r="337" spans="1:4" x14ac:dyDescent="0.25">
      <c r="A337" s="26">
        <v>41214</v>
      </c>
      <c r="B337" s="12">
        <v>86.53</v>
      </c>
      <c r="C337" s="16" t="s">
        <v>78</v>
      </c>
      <c r="D337" s="16"/>
    </row>
    <row r="338" spans="1:4" x14ac:dyDescent="0.25">
      <c r="A338" s="26">
        <v>41244</v>
      </c>
      <c r="B338" s="12">
        <v>87.86</v>
      </c>
      <c r="C338" s="16" t="s">
        <v>78</v>
      </c>
      <c r="D338" s="16"/>
    </row>
    <row r="339" spans="1:4" x14ac:dyDescent="0.25">
      <c r="A339" s="26">
        <v>41275</v>
      </c>
      <c r="B339" s="12">
        <v>94.76</v>
      </c>
      <c r="C339" s="16" t="s">
        <v>78</v>
      </c>
      <c r="D339" s="16"/>
    </row>
    <row r="340" spans="1:4" x14ac:dyDescent="0.25">
      <c r="A340" s="26">
        <v>41306</v>
      </c>
      <c r="B340" s="12">
        <v>95.31</v>
      </c>
      <c r="C340" s="16" t="s">
        <v>78</v>
      </c>
      <c r="D340" s="16"/>
    </row>
    <row r="341" spans="1:4" x14ac:dyDescent="0.25">
      <c r="A341" s="26">
        <v>41334</v>
      </c>
      <c r="B341" s="12">
        <v>92.94</v>
      </c>
      <c r="C341" s="16" t="s">
        <v>78</v>
      </c>
      <c r="D341" s="16"/>
    </row>
    <row r="342" spans="1:4" x14ac:dyDescent="0.25">
      <c r="A342" s="26">
        <v>41365</v>
      </c>
      <c r="B342" s="12">
        <v>92.02</v>
      </c>
      <c r="C342" s="16" t="s">
        <v>78</v>
      </c>
      <c r="D342" s="16"/>
    </row>
    <row r="343" spans="1:4" x14ac:dyDescent="0.25">
      <c r="A343" s="26">
        <v>41395</v>
      </c>
      <c r="B343" s="12">
        <v>94.51</v>
      </c>
      <c r="C343" s="16" t="s">
        <v>78</v>
      </c>
      <c r="D343" s="16"/>
    </row>
    <row r="344" spans="1:4" x14ac:dyDescent="0.25">
      <c r="A344" s="26">
        <v>41426</v>
      </c>
      <c r="B344" s="12">
        <v>95.77</v>
      </c>
      <c r="C344" s="16" t="s">
        <v>78</v>
      </c>
      <c r="D344" s="16"/>
    </row>
    <row r="345" spans="1:4" x14ac:dyDescent="0.25">
      <c r="A345" s="26">
        <v>41456</v>
      </c>
      <c r="B345" s="12">
        <v>104.67</v>
      </c>
      <c r="C345" s="16" t="s">
        <v>78</v>
      </c>
      <c r="D345" s="16"/>
    </row>
    <row r="346" spans="1:4" x14ac:dyDescent="0.25">
      <c r="A346" s="26">
        <v>41487</v>
      </c>
      <c r="B346" s="12">
        <v>106.57</v>
      </c>
      <c r="C346" s="16" t="s">
        <v>78</v>
      </c>
      <c r="D346" s="16"/>
    </row>
    <row r="347" spans="1:4" x14ac:dyDescent="0.25">
      <c r="A347" s="26">
        <v>41518</v>
      </c>
      <c r="B347" s="12">
        <v>106.29</v>
      </c>
      <c r="C347" s="16" t="s">
        <v>78</v>
      </c>
      <c r="D347" s="16"/>
    </row>
    <row r="348" spans="1:4" x14ac:dyDescent="0.25">
      <c r="A348" s="26">
        <v>41548</v>
      </c>
      <c r="B348" s="12">
        <v>100.54</v>
      </c>
      <c r="C348" s="16" t="s">
        <v>78</v>
      </c>
      <c r="D348" s="16"/>
    </row>
    <row r="349" spans="1:4" x14ac:dyDescent="0.25">
      <c r="A349" s="26">
        <v>41579</v>
      </c>
      <c r="B349" s="12">
        <v>93.86</v>
      </c>
      <c r="C349" s="16" t="s">
        <v>78</v>
      </c>
      <c r="D349" s="16"/>
    </row>
    <row r="350" spans="1:4" x14ac:dyDescent="0.25">
      <c r="A350" s="26">
        <v>41609</v>
      </c>
      <c r="B350" s="12">
        <v>97.63</v>
      </c>
      <c r="C350" s="16" t="s">
        <v>78</v>
      </c>
      <c r="D350" s="16"/>
    </row>
    <row r="351" spans="1:4" x14ac:dyDescent="0.25">
      <c r="A351" s="26">
        <v>41640</v>
      </c>
      <c r="B351" s="12">
        <v>94.62</v>
      </c>
      <c r="C351" s="16" t="s">
        <v>78</v>
      </c>
      <c r="D351" s="16"/>
    </row>
    <row r="352" spans="1:4" x14ac:dyDescent="0.25">
      <c r="A352" s="26">
        <v>41671</v>
      </c>
      <c r="B352" s="12">
        <v>100.82</v>
      </c>
      <c r="C352" s="16" t="s">
        <v>78</v>
      </c>
      <c r="D352" s="16"/>
    </row>
    <row r="353" spans="1:4" x14ac:dyDescent="0.25">
      <c r="A353" s="26">
        <v>41699</v>
      </c>
      <c r="B353" s="12">
        <v>100.8</v>
      </c>
      <c r="C353" s="16" t="s">
        <v>78</v>
      </c>
      <c r="D353" s="16"/>
    </row>
    <row r="354" spans="1:4" x14ac:dyDescent="0.25">
      <c r="A354" s="26">
        <v>41730</v>
      </c>
      <c r="B354" s="12">
        <v>102.07</v>
      </c>
      <c r="C354" s="16" t="s">
        <v>78</v>
      </c>
      <c r="D354" s="16"/>
    </row>
    <row r="355" spans="1:4" x14ac:dyDescent="0.25">
      <c r="A355" s="26">
        <v>41760</v>
      </c>
      <c r="B355" s="12">
        <v>102.18</v>
      </c>
      <c r="C355" s="16" t="s">
        <v>78</v>
      </c>
      <c r="D355" s="16"/>
    </row>
    <row r="356" spans="1:4" x14ac:dyDescent="0.25">
      <c r="A356" s="26">
        <v>41791</v>
      </c>
      <c r="B356" s="12">
        <v>105.79</v>
      </c>
      <c r="C356" s="16" t="s">
        <v>78</v>
      </c>
      <c r="D356" s="16"/>
    </row>
    <row r="357" spans="1:4" x14ac:dyDescent="0.25">
      <c r="A357" s="26">
        <v>41821</v>
      </c>
      <c r="B357" s="12">
        <v>103.59</v>
      </c>
      <c r="C357" s="16" t="s">
        <v>78</v>
      </c>
      <c r="D357" s="16"/>
    </row>
    <row r="358" spans="1:4" x14ac:dyDescent="0.25">
      <c r="A358" s="26">
        <v>41852</v>
      </c>
      <c r="B358" s="12">
        <v>96.54</v>
      </c>
      <c r="C358" s="16" t="s">
        <v>78</v>
      </c>
      <c r="D358" s="16"/>
    </row>
    <row r="359" spans="1:4" x14ac:dyDescent="0.25">
      <c r="A359" s="26">
        <v>41883</v>
      </c>
      <c r="B359" s="12">
        <v>93.21</v>
      </c>
      <c r="C359" s="16" t="s">
        <v>78</v>
      </c>
      <c r="D359" s="16"/>
    </row>
    <row r="360" spans="1:4" x14ac:dyDescent="0.25">
      <c r="A360" s="26">
        <v>41913</v>
      </c>
      <c r="B360" s="12">
        <v>84.4</v>
      </c>
      <c r="C360" s="16" t="s">
        <v>78</v>
      </c>
      <c r="D360" s="16"/>
    </row>
    <row r="361" spans="1:4" x14ac:dyDescent="0.25">
      <c r="A361" s="26">
        <v>41944</v>
      </c>
      <c r="B361" s="12">
        <v>75.790000000000006</v>
      </c>
      <c r="C361" s="16" t="s">
        <v>78</v>
      </c>
      <c r="D361" s="16"/>
    </row>
    <row r="362" spans="1:4" x14ac:dyDescent="0.25">
      <c r="A362" s="26">
        <v>41974</v>
      </c>
      <c r="B362" s="12">
        <v>59.29</v>
      </c>
      <c r="C362" s="16" t="s">
        <v>78</v>
      </c>
      <c r="D362" s="16"/>
    </row>
    <row r="363" spans="1:4" x14ac:dyDescent="0.25">
      <c r="A363" s="26">
        <v>42005</v>
      </c>
      <c r="B363" s="12">
        <v>47.22</v>
      </c>
      <c r="C363" s="16" t="s">
        <v>78</v>
      </c>
      <c r="D363" s="16"/>
    </row>
    <row r="364" spans="1:4" x14ac:dyDescent="0.25">
      <c r="A364" s="26">
        <v>42036</v>
      </c>
      <c r="B364" s="12">
        <v>50.58</v>
      </c>
      <c r="C364" s="16" t="s">
        <v>78</v>
      </c>
      <c r="D364" s="16"/>
    </row>
    <row r="365" spans="1:4" x14ac:dyDescent="0.25">
      <c r="A365" s="26">
        <v>42064</v>
      </c>
      <c r="B365" s="12">
        <v>47.82</v>
      </c>
      <c r="C365" s="16" t="s">
        <v>78</v>
      </c>
      <c r="D365" s="16"/>
    </row>
    <row r="366" spans="1:4" x14ac:dyDescent="0.25">
      <c r="A366" s="26">
        <v>42095</v>
      </c>
      <c r="B366" s="12">
        <v>54.45</v>
      </c>
      <c r="C366" s="16" t="s">
        <v>78</v>
      </c>
      <c r="D366" s="16"/>
    </row>
    <row r="367" spans="1:4" x14ac:dyDescent="0.25">
      <c r="A367" s="26">
        <v>42125</v>
      </c>
      <c r="B367" s="12">
        <v>59.27</v>
      </c>
      <c r="C367" s="16" t="s">
        <v>78</v>
      </c>
      <c r="D367" s="16"/>
    </row>
    <row r="368" spans="1:4" x14ac:dyDescent="0.25">
      <c r="A368" s="26">
        <v>42156</v>
      </c>
      <c r="B368" s="12">
        <v>59.82</v>
      </c>
      <c r="C368" s="16" t="s">
        <v>78</v>
      </c>
      <c r="D368" s="16"/>
    </row>
    <row r="369" spans="1:4" x14ac:dyDescent="0.25">
      <c r="A369" s="26">
        <v>42186</v>
      </c>
      <c r="B369" s="12">
        <v>50.9</v>
      </c>
      <c r="C369" s="16" t="s">
        <v>78</v>
      </c>
      <c r="D369" s="16"/>
    </row>
    <row r="370" spans="1:4" x14ac:dyDescent="0.25">
      <c r="A370" s="26">
        <v>42217</v>
      </c>
      <c r="B370" s="12">
        <v>42.87</v>
      </c>
      <c r="C370" s="16" t="s">
        <v>78</v>
      </c>
      <c r="D370" s="16"/>
    </row>
    <row r="371" spans="1:4" x14ac:dyDescent="0.25">
      <c r="A371" s="26">
        <v>42248</v>
      </c>
      <c r="B371" s="12">
        <v>45.48</v>
      </c>
      <c r="C371" s="16" t="s">
        <v>78</v>
      </c>
      <c r="D371" s="16"/>
    </row>
    <row r="372" spans="1:4" x14ac:dyDescent="0.25">
      <c r="A372" s="26">
        <v>42278</v>
      </c>
      <c r="B372" s="12">
        <v>46.22</v>
      </c>
      <c r="C372" s="16" t="s">
        <v>78</v>
      </c>
      <c r="D372" s="16"/>
    </row>
    <row r="373" spans="1:4" x14ac:dyDescent="0.25">
      <c r="A373" s="26">
        <v>42309</v>
      </c>
      <c r="B373" s="12">
        <v>42.44</v>
      </c>
      <c r="C373" s="16" t="s">
        <v>78</v>
      </c>
      <c r="D373" s="16"/>
    </row>
    <row r="374" spans="1:4" x14ac:dyDescent="0.25">
      <c r="A374" s="26">
        <v>42339</v>
      </c>
      <c r="B374" s="12">
        <v>37.19</v>
      </c>
      <c r="C374" s="16" t="s">
        <v>78</v>
      </c>
      <c r="D374" s="16"/>
    </row>
    <row r="375" spans="1:4" x14ac:dyDescent="0.25">
      <c r="A375" s="26">
        <v>42370</v>
      </c>
      <c r="B375" s="12">
        <v>31.68</v>
      </c>
      <c r="C375" s="16" t="s">
        <v>78</v>
      </c>
      <c r="D375" s="16"/>
    </row>
    <row r="376" spans="1:4" x14ac:dyDescent="0.25">
      <c r="A376" s="26">
        <v>42401</v>
      </c>
      <c r="B376" s="12">
        <v>30.32</v>
      </c>
      <c r="C376" s="16" t="s">
        <v>78</v>
      </c>
      <c r="D376" s="16"/>
    </row>
    <row r="377" spans="1:4" x14ac:dyDescent="0.25">
      <c r="A377" s="26">
        <v>42430</v>
      </c>
      <c r="B377" s="12">
        <v>37.549999999999997</v>
      </c>
      <c r="C377" s="16" t="s">
        <v>78</v>
      </c>
      <c r="D377" s="16"/>
    </row>
    <row r="378" spans="1:4" x14ac:dyDescent="0.25">
      <c r="A378" s="26">
        <v>42461</v>
      </c>
      <c r="B378" s="12">
        <v>40.75</v>
      </c>
      <c r="C378" s="16" t="s">
        <v>78</v>
      </c>
      <c r="D378" s="16"/>
    </row>
    <row r="379" spans="1:4" x14ac:dyDescent="0.25">
      <c r="A379" s="26">
        <v>42491</v>
      </c>
      <c r="B379" s="12">
        <v>46.71</v>
      </c>
      <c r="C379" s="16" t="s">
        <v>78</v>
      </c>
      <c r="D379" s="16"/>
    </row>
    <row r="380" spans="1:4" x14ac:dyDescent="0.25">
      <c r="A380" s="26">
        <v>42522</v>
      </c>
      <c r="B380" s="12">
        <v>48.76</v>
      </c>
      <c r="C380" s="16" t="s">
        <v>78</v>
      </c>
      <c r="D380" s="16"/>
    </row>
    <row r="381" spans="1:4" x14ac:dyDescent="0.25">
      <c r="A381" s="26">
        <v>42552</v>
      </c>
      <c r="B381" s="12">
        <v>44.65</v>
      </c>
      <c r="C381" s="16" t="s">
        <v>78</v>
      </c>
      <c r="D381" s="16"/>
    </row>
    <row r="382" spans="1:4" x14ac:dyDescent="0.25">
      <c r="A382" s="26">
        <v>42583</v>
      </c>
      <c r="B382" s="12">
        <v>44.72</v>
      </c>
      <c r="C382" s="16" t="s">
        <v>78</v>
      </c>
      <c r="D382" s="16"/>
    </row>
    <row r="383" spans="1:4" x14ac:dyDescent="0.25">
      <c r="A383" s="26">
        <v>42614</v>
      </c>
      <c r="B383" s="12">
        <v>45.18</v>
      </c>
      <c r="C383" s="16" t="s">
        <v>78</v>
      </c>
      <c r="D383" s="16"/>
    </row>
    <row r="384" spans="1:4" x14ac:dyDescent="0.25">
      <c r="A384" s="26">
        <v>42644</v>
      </c>
      <c r="B384" s="12">
        <v>49.78</v>
      </c>
      <c r="C384" s="16" t="s">
        <v>78</v>
      </c>
      <c r="D384" s="16"/>
    </row>
    <row r="385" spans="1:4" x14ac:dyDescent="0.25">
      <c r="A385" s="26">
        <v>42675</v>
      </c>
      <c r="B385" s="12">
        <v>45.66</v>
      </c>
      <c r="C385" s="16" t="s">
        <v>78</v>
      </c>
      <c r="D385" s="16"/>
    </row>
    <row r="386" spans="1:4" x14ac:dyDescent="0.25">
      <c r="A386" s="26">
        <v>42705</v>
      </c>
      <c r="B386" s="12">
        <v>51.97</v>
      </c>
      <c r="C386" s="16" t="s">
        <v>78</v>
      </c>
      <c r="D386" s="16"/>
    </row>
    <row r="387" spans="1:4" x14ac:dyDescent="0.25">
      <c r="A387" s="26">
        <v>42736</v>
      </c>
      <c r="B387" s="12">
        <v>52.5</v>
      </c>
      <c r="C387" s="16" t="s">
        <v>78</v>
      </c>
      <c r="D387" s="16"/>
    </row>
    <row r="388" spans="1:4" x14ac:dyDescent="0.25">
      <c r="A388" s="26">
        <v>42767</v>
      </c>
      <c r="B388" s="12">
        <v>53.47</v>
      </c>
      <c r="C388" s="16" t="s">
        <v>78</v>
      </c>
      <c r="D388" s="16"/>
    </row>
    <row r="389" spans="1:4" x14ac:dyDescent="0.25">
      <c r="A389" s="26">
        <v>42795</v>
      </c>
      <c r="B389" s="12">
        <v>49.33</v>
      </c>
      <c r="C389" s="16" t="s">
        <v>78</v>
      </c>
      <c r="D389" s="16"/>
    </row>
    <row r="390" spans="1:4" x14ac:dyDescent="0.25">
      <c r="A390" s="26">
        <v>42826</v>
      </c>
      <c r="B390" s="12">
        <v>51.06</v>
      </c>
      <c r="C390" s="16" t="s">
        <v>78</v>
      </c>
      <c r="D390" s="16"/>
    </row>
    <row r="391" spans="1:4" x14ac:dyDescent="0.25">
      <c r="A391" s="26">
        <v>42856</v>
      </c>
      <c r="B391" s="12">
        <v>48.48</v>
      </c>
      <c r="C391" s="16" t="s">
        <v>78</v>
      </c>
      <c r="D391" s="16"/>
    </row>
    <row r="392" spans="1:4" x14ac:dyDescent="0.25">
      <c r="A392" s="26">
        <v>42887</v>
      </c>
      <c r="B392" s="12">
        <v>45.18</v>
      </c>
      <c r="C392" s="16" t="s">
        <v>78</v>
      </c>
      <c r="D392" s="16"/>
    </row>
    <row r="393" spans="1:4" x14ac:dyDescent="0.25">
      <c r="A393" s="26">
        <v>42917</v>
      </c>
      <c r="B393" s="12">
        <v>46.63</v>
      </c>
      <c r="C393" s="16" t="s">
        <v>78</v>
      </c>
      <c r="D393" s="16"/>
    </row>
    <row r="394" spans="1:4" x14ac:dyDescent="0.25">
      <c r="A394" s="26">
        <v>42948</v>
      </c>
      <c r="B394" s="12">
        <v>48.04</v>
      </c>
      <c r="C394" s="16" t="s">
        <v>78</v>
      </c>
      <c r="D394" s="16"/>
    </row>
    <row r="395" spans="1:4" x14ac:dyDescent="0.25">
      <c r="A395" s="26">
        <v>42979</v>
      </c>
      <c r="B395" s="12">
        <v>49.82</v>
      </c>
      <c r="C395" s="16" t="s">
        <v>78</v>
      </c>
      <c r="D395" s="16"/>
    </row>
    <row r="396" spans="1:4" x14ac:dyDescent="0.25">
      <c r="A396" s="26">
        <v>43009</v>
      </c>
      <c r="B396" s="12">
        <v>51.58</v>
      </c>
      <c r="C396" s="16" t="s">
        <v>78</v>
      </c>
      <c r="D396" s="16"/>
    </row>
    <row r="397" spans="1:4" x14ac:dyDescent="0.25">
      <c r="A397" s="26">
        <v>43040</v>
      </c>
      <c r="B397" s="12">
        <v>56.64</v>
      </c>
      <c r="C397" s="16" t="s">
        <v>78</v>
      </c>
      <c r="D397" s="16"/>
    </row>
    <row r="398" spans="1:4" x14ac:dyDescent="0.25">
      <c r="A398" s="26">
        <v>43070</v>
      </c>
      <c r="B398" s="12">
        <v>57.88</v>
      </c>
      <c r="C398" s="16" t="s">
        <v>78</v>
      </c>
      <c r="D398" s="16"/>
    </row>
    <row r="399" spans="1:4" x14ac:dyDescent="0.25">
      <c r="A399" s="26">
        <v>43101</v>
      </c>
      <c r="B399" s="12">
        <v>63.7</v>
      </c>
      <c r="C399" s="16" t="s">
        <v>78</v>
      </c>
      <c r="D399" s="16"/>
    </row>
    <row r="400" spans="1:4" x14ac:dyDescent="0.25">
      <c r="A400" s="26">
        <v>43132</v>
      </c>
      <c r="B400" s="12">
        <v>62.23</v>
      </c>
      <c r="C400" s="16" t="s">
        <v>78</v>
      </c>
      <c r="D400" s="16"/>
    </row>
    <row r="401" spans="1:4" x14ac:dyDescent="0.25">
      <c r="A401" s="26">
        <v>43160</v>
      </c>
      <c r="B401" s="12">
        <v>62.73</v>
      </c>
      <c r="C401" s="16" t="s">
        <v>78</v>
      </c>
      <c r="D401" s="16"/>
    </row>
    <row r="402" spans="1:4" x14ac:dyDescent="0.25">
      <c r="A402" s="26">
        <v>43191</v>
      </c>
      <c r="B402" s="12">
        <v>66.25</v>
      </c>
      <c r="C402" s="16" t="s">
        <v>78</v>
      </c>
      <c r="D402" s="16"/>
    </row>
    <row r="403" spans="1:4" x14ac:dyDescent="0.25">
      <c r="A403" s="26">
        <v>43221</v>
      </c>
      <c r="B403" s="12">
        <v>69.98</v>
      </c>
      <c r="C403" s="16" t="s">
        <v>78</v>
      </c>
      <c r="D403" s="16"/>
    </row>
    <row r="404" spans="1:4" x14ac:dyDescent="0.25">
      <c r="A404" s="26">
        <v>43252</v>
      </c>
      <c r="B404" s="12">
        <v>67.87</v>
      </c>
      <c r="C404" s="16" t="s">
        <v>78</v>
      </c>
      <c r="D404" s="16"/>
    </row>
    <row r="405" spans="1:4" x14ac:dyDescent="0.25">
      <c r="A405" s="26">
        <v>43282</v>
      </c>
      <c r="B405" s="12">
        <v>70.98</v>
      </c>
      <c r="C405" s="16" t="s">
        <v>78</v>
      </c>
      <c r="D405" s="16"/>
    </row>
    <row r="406" spans="1:4" x14ac:dyDescent="0.25">
      <c r="A406" s="26">
        <v>43313</v>
      </c>
      <c r="B406" s="12">
        <v>68.06</v>
      </c>
      <c r="C406" s="16" t="s">
        <v>78</v>
      </c>
      <c r="D406" s="16"/>
    </row>
    <row r="407" spans="1:4" x14ac:dyDescent="0.25">
      <c r="A407" s="26">
        <v>43344</v>
      </c>
      <c r="B407" s="12">
        <v>70.23</v>
      </c>
      <c r="C407" s="16" t="s">
        <v>78</v>
      </c>
      <c r="D407" s="16"/>
    </row>
    <row r="408" spans="1:4" x14ac:dyDescent="0.25">
      <c r="A408" s="26">
        <v>43374</v>
      </c>
      <c r="B408" s="12">
        <v>70.75</v>
      </c>
      <c r="C408" s="16" t="s">
        <v>78</v>
      </c>
      <c r="D408" s="16"/>
    </row>
    <row r="409" spans="1:4" x14ac:dyDescent="0.25">
      <c r="A409" s="26">
        <v>43405</v>
      </c>
      <c r="B409" s="12">
        <v>56.96</v>
      </c>
      <c r="C409" s="16" t="s">
        <v>78</v>
      </c>
      <c r="D409" s="16"/>
    </row>
    <row r="410" spans="1:4" x14ac:dyDescent="0.25">
      <c r="A410" s="26">
        <v>43435</v>
      </c>
      <c r="B410" s="12">
        <v>49.52</v>
      </c>
      <c r="C410" s="16" t="s">
        <v>78</v>
      </c>
      <c r="D410" s="16"/>
    </row>
    <row r="411" spans="1:4" x14ac:dyDescent="0.25">
      <c r="A411" s="26">
        <v>43466</v>
      </c>
      <c r="B411" s="12">
        <v>51.38</v>
      </c>
      <c r="C411" s="16" t="s">
        <v>78</v>
      </c>
      <c r="D411" s="16"/>
    </row>
    <row r="412" spans="1:4" x14ac:dyDescent="0.25">
      <c r="A412" s="26">
        <v>43497</v>
      </c>
      <c r="B412" s="12">
        <v>54.95</v>
      </c>
      <c r="C412" s="16" t="s">
        <v>78</v>
      </c>
      <c r="D412" s="16"/>
    </row>
    <row r="413" spans="1:4" x14ac:dyDescent="0.25">
      <c r="A413" s="26">
        <v>43525</v>
      </c>
      <c r="B413" s="12">
        <v>58.15</v>
      </c>
      <c r="C413" s="16" t="s">
        <v>78</v>
      </c>
      <c r="D413" s="16"/>
    </row>
    <row r="414" spans="1:4" x14ac:dyDescent="0.25">
      <c r="A414" s="26">
        <v>43556</v>
      </c>
      <c r="B414" s="12">
        <v>63.86</v>
      </c>
      <c r="C414" s="16" t="s">
        <v>78</v>
      </c>
      <c r="D414" s="16"/>
    </row>
    <row r="415" spans="1:4" x14ac:dyDescent="0.25">
      <c r="A415" s="26">
        <v>43586</v>
      </c>
      <c r="B415" s="12">
        <v>60.83</v>
      </c>
      <c r="C415" s="16" t="s">
        <v>78</v>
      </c>
      <c r="D415" s="16"/>
    </row>
    <row r="416" spans="1:4" x14ac:dyDescent="0.25">
      <c r="A416" s="26">
        <v>43617</v>
      </c>
      <c r="B416" s="12">
        <v>54.66</v>
      </c>
      <c r="C416" s="16" t="s">
        <v>78</v>
      </c>
      <c r="D416" s="16"/>
    </row>
    <row r="417" spans="1:4" x14ac:dyDescent="0.25">
      <c r="A417" s="26">
        <v>43647</v>
      </c>
      <c r="B417" s="12">
        <v>57.35</v>
      </c>
      <c r="C417" s="16" t="s">
        <v>78</v>
      </c>
      <c r="D417" s="16"/>
    </row>
    <row r="418" spans="1:4" x14ac:dyDescent="0.25">
      <c r="A418" s="26">
        <v>43678</v>
      </c>
      <c r="B418" s="12">
        <v>54.81</v>
      </c>
      <c r="C418" s="16" t="s">
        <v>78</v>
      </c>
      <c r="D418" s="16"/>
    </row>
    <row r="419" spans="1:4" x14ac:dyDescent="0.25">
      <c r="A419" s="26">
        <v>43709</v>
      </c>
      <c r="B419" s="12">
        <v>56.95</v>
      </c>
      <c r="C419" s="16" t="s">
        <v>78</v>
      </c>
      <c r="D419" s="16"/>
    </row>
    <row r="420" spans="1:4" x14ac:dyDescent="0.25">
      <c r="A420" s="26">
        <v>43739</v>
      </c>
      <c r="B420" s="12">
        <v>53.96</v>
      </c>
      <c r="C420" s="16" t="s">
        <v>78</v>
      </c>
      <c r="D420" s="16"/>
    </row>
    <row r="421" spans="1:4" x14ac:dyDescent="0.25">
      <c r="A421" s="26">
        <v>43770</v>
      </c>
      <c r="B421" s="12">
        <v>57.03</v>
      </c>
      <c r="C421" s="16" t="s">
        <v>78</v>
      </c>
      <c r="D421" s="16"/>
    </row>
    <row r="422" spans="1:4" x14ac:dyDescent="0.25">
      <c r="A422" s="26">
        <v>43800</v>
      </c>
      <c r="B422" s="12">
        <v>59.88</v>
      </c>
      <c r="C422" s="16" t="s">
        <v>78</v>
      </c>
      <c r="D422" s="16"/>
    </row>
    <row r="423" spans="1:4" x14ac:dyDescent="0.25">
      <c r="A423" s="26">
        <v>43831</v>
      </c>
      <c r="B423" s="12">
        <v>57.52</v>
      </c>
      <c r="C423" s="16" t="s">
        <v>78</v>
      </c>
      <c r="D423" s="16"/>
    </row>
    <row r="424" spans="1:4" x14ac:dyDescent="0.25">
      <c r="A424" s="26">
        <v>43862</v>
      </c>
      <c r="B424" s="12">
        <v>50.54</v>
      </c>
      <c r="C424" s="16" t="s">
        <v>78</v>
      </c>
      <c r="D424" s="16"/>
    </row>
    <row r="425" spans="1:4" x14ac:dyDescent="0.25">
      <c r="A425" s="26">
        <v>43891</v>
      </c>
      <c r="B425" s="12">
        <v>29.21</v>
      </c>
      <c r="C425" s="16" t="s">
        <v>78</v>
      </c>
      <c r="D425" s="16"/>
    </row>
    <row r="426" spans="1:4" x14ac:dyDescent="0.25">
      <c r="A426" s="26">
        <v>43922</v>
      </c>
      <c r="B426" s="12">
        <v>16.55</v>
      </c>
      <c r="C426" s="16" t="s">
        <v>78</v>
      </c>
      <c r="D426" s="16"/>
    </row>
    <row r="427" spans="1:4" x14ac:dyDescent="0.25">
      <c r="A427" s="26">
        <v>43952</v>
      </c>
      <c r="B427" s="12">
        <v>28.56</v>
      </c>
      <c r="C427" s="16" t="s">
        <v>78</v>
      </c>
      <c r="D427" s="16"/>
    </row>
    <row r="428" spans="1:4" x14ac:dyDescent="0.25">
      <c r="A428" s="26">
        <v>43983</v>
      </c>
      <c r="B428" s="12">
        <v>38.31</v>
      </c>
      <c r="C428" s="16" t="s">
        <v>78</v>
      </c>
      <c r="D428" s="16"/>
    </row>
    <row r="429" spans="1:4" x14ac:dyDescent="0.25">
      <c r="A429" s="26">
        <v>44013</v>
      </c>
      <c r="B429" s="12">
        <v>40.71</v>
      </c>
      <c r="C429" s="16" t="s">
        <v>78</v>
      </c>
      <c r="D429" s="16"/>
    </row>
    <row r="430" spans="1:4" x14ac:dyDescent="0.25">
      <c r="A430" s="26">
        <v>44044</v>
      </c>
      <c r="B430" s="12">
        <v>42.34</v>
      </c>
      <c r="C430" s="16" t="s">
        <v>78</v>
      </c>
      <c r="D430" s="16"/>
    </row>
    <row r="431" spans="1:4" x14ac:dyDescent="0.25">
      <c r="A431" s="26">
        <v>44075</v>
      </c>
      <c r="B431" s="12">
        <v>39.630000000000003</v>
      </c>
      <c r="C431" s="16" t="s">
        <v>78</v>
      </c>
      <c r="D431" s="16"/>
    </row>
    <row r="432" spans="1:4" x14ac:dyDescent="0.25">
      <c r="A432" s="26">
        <v>44105</v>
      </c>
      <c r="B432" s="12">
        <v>39.4</v>
      </c>
      <c r="C432" s="16" t="s">
        <v>78</v>
      </c>
      <c r="D432" s="16"/>
    </row>
    <row r="433" spans="1:4" x14ac:dyDescent="0.25">
      <c r="A433" s="26">
        <v>44136</v>
      </c>
      <c r="B433" s="12">
        <v>40.94</v>
      </c>
      <c r="C433" s="16" t="s">
        <v>78</v>
      </c>
      <c r="D433" s="16"/>
    </row>
    <row r="434" spans="1:4" x14ac:dyDescent="0.25">
      <c r="A434" s="26">
        <v>44166</v>
      </c>
      <c r="B434" s="12">
        <v>47.02</v>
      </c>
      <c r="C434" s="16" t="s">
        <v>78</v>
      </c>
      <c r="D434" s="16"/>
    </row>
    <row r="435" spans="1:4" x14ac:dyDescent="0.25">
      <c r="A435" s="26">
        <v>44197</v>
      </c>
      <c r="B435" s="12">
        <v>52</v>
      </c>
      <c r="C435" s="16" t="s">
        <v>78</v>
      </c>
      <c r="D435" s="16"/>
    </row>
    <row r="436" spans="1:4" x14ac:dyDescent="0.25">
      <c r="A436" s="26">
        <v>44228</v>
      </c>
      <c r="B436" s="12">
        <v>59.04</v>
      </c>
      <c r="C436" s="16" t="s">
        <v>78</v>
      </c>
      <c r="D436" s="16"/>
    </row>
    <row r="437" spans="1:4" x14ac:dyDescent="0.25">
      <c r="A437" s="26">
        <v>44256</v>
      </c>
      <c r="B437" s="12">
        <v>62.33</v>
      </c>
      <c r="C437" s="16" t="s">
        <v>78</v>
      </c>
      <c r="D437" s="16"/>
    </row>
    <row r="438" spans="1:4" x14ac:dyDescent="0.25">
      <c r="A438" s="26">
        <v>44287</v>
      </c>
      <c r="B438" s="12">
        <v>61.72</v>
      </c>
      <c r="C438" s="16" t="s">
        <v>78</v>
      </c>
      <c r="D438" s="16"/>
    </row>
    <row r="439" spans="1:4" x14ac:dyDescent="0.25">
      <c r="A439" s="26">
        <v>44317</v>
      </c>
      <c r="B439" s="12">
        <v>65.17</v>
      </c>
      <c r="C439" s="16" t="s">
        <v>78</v>
      </c>
      <c r="D439" s="16"/>
    </row>
    <row r="440" spans="1:4" x14ac:dyDescent="0.25">
      <c r="A440" s="26">
        <v>44348</v>
      </c>
      <c r="B440" s="12">
        <v>71.38</v>
      </c>
      <c r="C440" s="16" t="s">
        <v>78</v>
      </c>
      <c r="D440" s="16"/>
    </row>
    <row r="441" spans="1:4" x14ac:dyDescent="0.25">
      <c r="A441" s="26">
        <v>44378</v>
      </c>
      <c r="B441" s="12">
        <v>72.489999999999995</v>
      </c>
      <c r="C441" s="16" t="s">
        <v>78</v>
      </c>
      <c r="D441" s="16"/>
    </row>
    <row r="442" spans="1:4" x14ac:dyDescent="0.25">
      <c r="A442" s="26">
        <v>44409</v>
      </c>
      <c r="B442" s="12">
        <v>67.7</v>
      </c>
      <c r="C442" s="16" t="s">
        <v>78</v>
      </c>
      <c r="D442" s="16"/>
    </row>
    <row r="443" spans="1:4" x14ac:dyDescent="0.25">
      <c r="A443" s="26">
        <v>44440</v>
      </c>
      <c r="B443" s="12">
        <v>71.650000000000006</v>
      </c>
      <c r="C443" s="16" t="s">
        <v>78</v>
      </c>
      <c r="D443" s="16"/>
    </row>
    <row r="444" spans="1:4" x14ac:dyDescent="0.25">
      <c r="A444" s="26">
        <v>44470</v>
      </c>
      <c r="B444" s="12">
        <v>81.48</v>
      </c>
      <c r="C444" s="16" t="s">
        <v>78</v>
      </c>
      <c r="D444" s="16"/>
    </row>
    <row r="445" spans="1:4" x14ac:dyDescent="0.25">
      <c r="A445" s="26">
        <v>44501</v>
      </c>
      <c r="B445" s="12">
        <v>79.150000000000006</v>
      </c>
      <c r="C445" s="16" t="s">
        <v>78</v>
      </c>
      <c r="D445" s="16"/>
    </row>
    <row r="446" spans="1:4" x14ac:dyDescent="0.25">
      <c r="A446" s="26">
        <v>44531</v>
      </c>
      <c r="B446" s="12">
        <v>71.709999999999994</v>
      </c>
      <c r="C446" s="16" t="s">
        <v>78</v>
      </c>
      <c r="D446" s="16"/>
    </row>
    <row r="447" spans="1:4" x14ac:dyDescent="0.25">
      <c r="A447" s="26">
        <v>44562</v>
      </c>
      <c r="B447" s="12">
        <v>83.22</v>
      </c>
      <c r="C447" s="16" t="s">
        <v>78</v>
      </c>
      <c r="D447" s="16"/>
    </row>
    <row r="448" spans="1:4" x14ac:dyDescent="0.25">
      <c r="A448" s="26">
        <v>44593</v>
      </c>
      <c r="B448" s="12">
        <v>91.64</v>
      </c>
      <c r="C448" s="16" t="s">
        <v>78</v>
      </c>
      <c r="D448" s="16"/>
    </row>
    <row r="449" spans="1:4" x14ac:dyDescent="0.25">
      <c r="A449" s="26">
        <v>44621</v>
      </c>
      <c r="B449" s="12">
        <v>108.5</v>
      </c>
      <c r="C449" s="16" t="s">
        <v>78</v>
      </c>
      <c r="D449" s="16"/>
    </row>
    <row r="450" spans="1:4" x14ac:dyDescent="0.25">
      <c r="A450" s="26">
        <v>44652</v>
      </c>
      <c r="B450" s="12">
        <v>101.78</v>
      </c>
      <c r="C450" s="16" t="s">
        <v>78</v>
      </c>
      <c r="D450" s="16"/>
    </row>
    <row r="451" spans="1:4" x14ac:dyDescent="0.25">
      <c r="A451" s="26">
        <v>44682</v>
      </c>
      <c r="B451" s="12">
        <v>109.55</v>
      </c>
      <c r="C451" s="16" t="s">
        <v>78</v>
      </c>
      <c r="D451" s="16"/>
    </row>
    <row r="452" spans="1:4" x14ac:dyDescent="0.25">
      <c r="A452" s="26">
        <v>44713</v>
      </c>
      <c r="B452" s="12">
        <v>114.84</v>
      </c>
      <c r="C452" s="16" t="s">
        <v>78</v>
      </c>
      <c r="D452" s="16"/>
    </row>
    <row r="453" spans="1:4" x14ac:dyDescent="0.25">
      <c r="A453" s="26">
        <v>44743</v>
      </c>
      <c r="B453" s="12">
        <v>101.62</v>
      </c>
      <c r="C453" s="16" t="s">
        <v>78</v>
      </c>
      <c r="D453" s="16"/>
    </row>
    <row r="454" spans="1:4" x14ac:dyDescent="0.25">
      <c r="A454" s="26">
        <v>44774</v>
      </c>
      <c r="B454" s="12">
        <v>93.67</v>
      </c>
      <c r="C454" s="16" t="s">
        <v>78</v>
      </c>
      <c r="D454" s="16"/>
    </row>
    <row r="455" spans="1:4" x14ac:dyDescent="0.25">
      <c r="A455" s="26">
        <v>44805</v>
      </c>
      <c r="B455" s="12">
        <v>84.26</v>
      </c>
      <c r="C455" s="16" t="s">
        <v>78</v>
      </c>
      <c r="D455" s="16"/>
    </row>
    <row r="456" spans="1:4" x14ac:dyDescent="0.25">
      <c r="A456" s="26">
        <v>44835</v>
      </c>
      <c r="B456" s="12">
        <v>87.55</v>
      </c>
      <c r="C456" s="16" t="s">
        <v>78</v>
      </c>
      <c r="D456" s="16"/>
    </row>
    <row r="457" spans="1:4" x14ac:dyDescent="0.25">
      <c r="A457" s="26">
        <v>44866</v>
      </c>
      <c r="B457" s="12">
        <v>84.37</v>
      </c>
      <c r="C457" s="16" t="s">
        <v>78</v>
      </c>
      <c r="D457" s="16"/>
    </row>
    <row r="458" spans="1:4" x14ac:dyDescent="0.25">
      <c r="A458" s="26">
        <v>44896</v>
      </c>
      <c r="B458" s="12">
        <v>76.44</v>
      </c>
      <c r="C458" s="16" t="s">
        <v>78</v>
      </c>
      <c r="D458" s="16"/>
    </row>
    <row r="459" spans="1:4" x14ac:dyDescent="0.25">
      <c r="A459" s="26">
        <v>44927</v>
      </c>
      <c r="B459" s="12">
        <v>78.12</v>
      </c>
      <c r="C459" s="16" t="s">
        <v>78</v>
      </c>
      <c r="D459" s="16"/>
    </row>
    <row r="460" spans="1:4" x14ac:dyDescent="0.25">
      <c r="A460" s="26">
        <v>44958</v>
      </c>
      <c r="B460" s="12">
        <v>76.83</v>
      </c>
      <c r="C460" s="16" t="s">
        <v>78</v>
      </c>
      <c r="D460" s="16"/>
    </row>
    <row r="461" spans="1:4" x14ac:dyDescent="0.25">
      <c r="A461" s="26">
        <v>44986</v>
      </c>
      <c r="B461" s="12">
        <v>73.28</v>
      </c>
      <c r="C461" s="16" t="s">
        <v>78</v>
      </c>
      <c r="D461" s="16"/>
    </row>
    <row r="462" spans="1:4" x14ac:dyDescent="0.25">
      <c r="A462" s="26">
        <v>45017</v>
      </c>
      <c r="B462" s="12">
        <v>79.45</v>
      </c>
      <c r="C462" s="16" t="s">
        <v>78</v>
      </c>
      <c r="D462" s="16"/>
    </row>
    <row r="463" spans="1:4" x14ac:dyDescent="0.25">
      <c r="A463" s="26">
        <v>45047</v>
      </c>
      <c r="B463" s="12">
        <v>71.58</v>
      </c>
      <c r="C463" s="16" t="s">
        <v>78</v>
      </c>
      <c r="D463" s="16"/>
    </row>
    <row r="464" spans="1:4" x14ac:dyDescent="0.25">
      <c r="A464" s="26">
        <v>45078</v>
      </c>
      <c r="B464" s="12">
        <v>70.25</v>
      </c>
      <c r="C464" s="16" t="s">
        <v>78</v>
      </c>
      <c r="D464" s="16"/>
    </row>
    <row r="465" spans="1:4" x14ac:dyDescent="0.25">
      <c r="A465" s="26">
        <v>45108</v>
      </c>
      <c r="B465" s="12">
        <v>76.069999999999993</v>
      </c>
      <c r="C465" s="16" t="s">
        <v>78</v>
      </c>
      <c r="D465" s="16"/>
    </row>
    <row r="466" spans="1:4" x14ac:dyDescent="0.25">
      <c r="A466" s="26">
        <v>45139</v>
      </c>
      <c r="B466" s="12">
        <v>81.39</v>
      </c>
      <c r="C466" s="16" t="s">
        <v>78</v>
      </c>
      <c r="D466" s="16"/>
    </row>
    <row r="467" spans="1:4" x14ac:dyDescent="0.25">
      <c r="A467" s="26">
        <v>45170</v>
      </c>
      <c r="B467" s="12">
        <v>89.43</v>
      </c>
      <c r="C467" s="16" t="s">
        <v>78</v>
      </c>
      <c r="D467" s="16"/>
    </row>
    <row r="468" spans="1:4" x14ac:dyDescent="0.25">
      <c r="A468" s="26">
        <v>45200</v>
      </c>
      <c r="B468" s="12">
        <v>85.64</v>
      </c>
      <c r="C468" s="16" t="s">
        <v>78</v>
      </c>
      <c r="D468" s="16"/>
    </row>
    <row r="469" spans="1:4" x14ac:dyDescent="0.25">
      <c r="A469" s="26">
        <v>45231</v>
      </c>
      <c r="B469" s="12">
        <v>77.69</v>
      </c>
      <c r="C469" s="16" t="s">
        <v>78</v>
      </c>
      <c r="D469" s="16"/>
    </row>
    <row r="470" spans="1:4" x14ac:dyDescent="0.25">
      <c r="A470" s="26">
        <v>45261</v>
      </c>
      <c r="B470" s="12">
        <v>71.900000000000006</v>
      </c>
      <c r="C470" s="16" t="s">
        <v>78</v>
      </c>
      <c r="D470" s="16"/>
    </row>
    <row r="471" spans="1:4" x14ac:dyDescent="0.25">
      <c r="A471" s="26">
        <v>45292</v>
      </c>
      <c r="B471" s="12">
        <v>74.150000000000006</v>
      </c>
      <c r="C471" s="16" t="s">
        <v>78</v>
      </c>
      <c r="D471" s="16"/>
    </row>
    <row r="472" spans="1:4" x14ac:dyDescent="0.25">
      <c r="A472" s="26">
        <v>45323</v>
      </c>
      <c r="B472" s="12">
        <v>77.25</v>
      </c>
      <c r="C472" s="16" t="s">
        <v>78</v>
      </c>
      <c r="D472" s="16"/>
    </row>
    <row r="473" spans="1:4" x14ac:dyDescent="0.25">
      <c r="A473" s="26">
        <v>45352</v>
      </c>
      <c r="B473" s="12">
        <v>81.28</v>
      </c>
      <c r="C473" s="16" t="s">
        <v>78</v>
      </c>
      <c r="D473" s="16"/>
    </row>
    <row r="474" spans="1:4" x14ac:dyDescent="0.25">
      <c r="A474" s="26">
        <v>45383</v>
      </c>
      <c r="B474" s="12">
        <v>85.35</v>
      </c>
      <c r="C474" s="16" t="s">
        <v>78</v>
      </c>
      <c r="D474" s="16"/>
    </row>
    <row r="475" spans="1:4" x14ac:dyDescent="0.25">
      <c r="A475" s="26">
        <v>45413</v>
      </c>
      <c r="B475" s="12">
        <v>80.02</v>
      </c>
      <c r="C475" s="16" t="s">
        <v>78</v>
      </c>
      <c r="D475" s="16"/>
    </row>
    <row r="476" spans="1:4" x14ac:dyDescent="0.25">
      <c r="A476" s="26">
        <v>45444</v>
      </c>
      <c r="B476" s="12">
        <v>79.77</v>
      </c>
      <c r="C476" s="16" t="s">
        <v>78</v>
      </c>
      <c r="D476" s="16"/>
    </row>
    <row r="477" spans="1:4" x14ac:dyDescent="0.25">
      <c r="A477" s="26">
        <v>45474</v>
      </c>
      <c r="B477" s="12">
        <v>81.8</v>
      </c>
      <c r="C477" s="16" t="s">
        <v>78</v>
      </c>
      <c r="D477" s="16"/>
    </row>
    <row r="478" spans="1:4" x14ac:dyDescent="0.25">
      <c r="A478" s="26">
        <v>45505</v>
      </c>
      <c r="B478" s="12">
        <v>76.680000000000007</v>
      </c>
      <c r="C478" s="16" t="s">
        <v>78</v>
      </c>
      <c r="D478" s="16"/>
    </row>
    <row r="479" spans="1:4" x14ac:dyDescent="0.25">
      <c r="A479" s="26">
        <v>45536</v>
      </c>
      <c r="B479" s="12">
        <v>70.239999999999995</v>
      </c>
      <c r="C479" s="16" t="s">
        <v>78</v>
      </c>
      <c r="D479" s="16"/>
    </row>
    <row r="480" spans="1:4" x14ac:dyDescent="0.25">
      <c r="A480" s="26">
        <v>45566</v>
      </c>
      <c r="B480" s="12">
        <v>71.989999999999995</v>
      </c>
      <c r="C480" s="16" t="s">
        <v>78</v>
      </c>
      <c r="D480" s="16"/>
    </row>
    <row r="481" spans="1:4" x14ac:dyDescent="0.25">
      <c r="A481" s="26">
        <v>45597</v>
      </c>
      <c r="B481" s="12">
        <v>69.95</v>
      </c>
      <c r="C481" s="16" t="s">
        <v>78</v>
      </c>
      <c r="D481" s="16"/>
    </row>
    <row r="482" spans="1:4" x14ac:dyDescent="0.25">
      <c r="A482" s="26">
        <v>45627</v>
      </c>
      <c r="B482" s="12">
        <v>70.12</v>
      </c>
      <c r="C482" s="16" t="s">
        <v>78</v>
      </c>
      <c r="D482" s="16"/>
    </row>
    <row r="483" spans="1:4" x14ac:dyDescent="0.25">
      <c r="A483" s="26">
        <v>45658</v>
      </c>
      <c r="B483" s="12">
        <v>75.739999999999995</v>
      </c>
      <c r="C483" s="16" t="s">
        <v>78</v>
      </c>
      <c r="D483" s="16"/>
    </row>
    <row r="484" spans="1:4" x14ac:dyDescent="0.25">
      <c r="A484" s="26">
        <v>45689</v>
      </c>
      <c r="B484" s="12">
        <v>71.53</v>
      </c>
      <c r="C484" s="16" t="s">
        <v>78</v>
      </c>
      <c r="D484" s="16"/>
    </row>
    <row r="485" spans="1:4" x14ac:dyDescent="0.25">
      <c r="A485" s="26">
        <v>45717</v>
      </c>
      <c r="B485" s="12">
        <v>68.239999999999995</v>
      </c>
      <c r="C485" s="16" t="s">
        <v>78</v>
      </c>
      <c r="D485" s="16"/>
    </row>
    <row r="486" spans="1:4" x14ac:dyDescent="0.25">
      <c r="A486" s="26">
        <v>45748</v>
      </c>
      <c r="B486" s="12">
        <v>63.54</v>
      </c>
      <c r="C486" s="16" t="s">
        <v>78</v>
      </c>
      <c r="D486" s="16"/>
    </row>
    <row r="487" spans="1:4" x14ac:dyDescent="0.25">
      <c r="A487" s="26">
        <v>45778</v>
      </c>
      <c r="B487" s="12">
        <v>62.17</v>
      </c>
      <c r="C487" s="16" t="s">
        <v>78</v>
      </c>
      <c r="D487" s="16"/>
    </row>
    <row r="488" spans="1:4" x14ac:dyDescent="0.25">
      <c r="A488" s="26">
        <v>45809</v>
      </c>
      <c r="B488" s="12">
        <v>68.17</v>
      </c>
      <c r="C488" s="16" t="s">
        <v>78</v>
      </c>
      <c r="D488" s="16"/>
    </row>
    <row r="489" spans="1:4" x14ac:dyDescent="0.25">
      <c r="A489" s="26">
        <v>45839</v>
      </c>
      <c r="B489" s="12">
        <v>68.39</v>
      </c>
      <c r="C489" s="16" t="s">
        <v>78</v>
      </c>
      <c r="D489" s="16"/>
    </row>
    <row r="490" spans="1:4" x14ac:dyDescent="0.25">
      <c r="A490" s="26">
        <v>45870</v>
      </c>
      <c r="B490" s="12">
        <v>64.86</v>
      </c>
      <c r="C490" s="16" t="s">
        <v>78</v>
      </c>
      <c r="D490" s="16"/>
    </row>
    <row r="491" spans="1:4" x14ac:dyDescent="0.25">
      <c r="A491" s="26">
        <v>45901</v>
      </c>
      <c r="B491" s="12">
        <v>63.96</v>
      </c>
      <c r="C491" s="16" t="s">
        <v>78</v>
      </c>
      <c r="D491" s="16"/>
    </row>
    <row r="492" spans="1:4" x14ac:dyDescent="0.25">
      <c r="A492" s="26">
        <v>45931</v>
      </c>
      <c r="B492" s="12">
        <v>60.89</v>
      </c>
      <c r="C492" s="16" t="s">
        <v>78</v>
      </c>
      <c r="D492" s="16"/>
    </row>
    <row r="493" spans="1:4" x14ac:dyDescent="0.25">
      <c r="A493" s="26">
        <v>45962</v>
      </c>
      <c r="B493" s="12">
        <v>60.06</v>
      </c>
      <c r="C493" s="16" t="s">
        <v>78</v>
      </c>
      <c r="D493" s="16"/>
    </row>
    <row r="494" spans="1:4" x14ac:dyDescent="0.25">
      <c r="A494" s="26">
        <v>45992</v>
      </c>
      <c r="B494" s="12">
        <v>57.97</v>
      </c>
      <c r="C494" s="16" t="s">
        <v>78</v>
      </c>
      <c r="D494" s="16"/>
    </row>
    <row r="495" spans="1:4" x14ac:dyDescent="0.25">
      <c r="A495" s="26">
        <v>46023</v>
      </c>
      <c r="B495" s="12">
        <v>60.04</v>
      </c>
      <c r="C495" s="16" t="s">
        <v>78</v>
      </c>
      <c r="D495" s="16"/>
    </row>
    <row r="496" spans="1:4" x14ac:dyDescent="0.25">
      <c r="A496" s="26">
        <v>46054</v>
      </c>
      <c r="B496" s="12">
        <v>64.510000000000005</v>
      </c>
      <c r="C496" s="16" t="s">
        <v>78</v>
      </c>
      <c r="D496" s="16"/>
    </row>
    <row r="497" spans="1:4" x14ac:dyDescent="0.25">
      <c r="A497" s="26">
        <v>46082</v>
      </c>
      <c r="B497" s="12">
        <v>91.38</v>
      </c>
      <c r="C497" s="16" t="s">
        <v>78</v>
      </c>
      <c r="D497" s="16"/>
    </row>
    <row r="498" spans="1:4" x14ac:dyDescent="0.25">
      <c r="A498" s="26">
        <v>46113</v>
      </c>
      <c r="B498" s="12">
        <v>100.32</v>
      </c>
      <c r="C498" s="16" t="s">
        <v>78</v>
      </c>
      <c r="D498" s="16"/>
    </row>
    <row r="499" spans="1:4" x14ac:dyDescent="0.25">
      <c r="A499" s="26">
        <v>46143</v>
      </c>
      <c r="B499" s="12">
        <v>102.13</v>
      </c>
      <c r="C499" s="16" t="s">
        <v>78</v>
      </c>
      <c r="D499" s="16"/>
    </row>
    <row r="500" spans="1:4" x14ac:dyDescent="0.25">
      <c r="A500" s="26">
        <v>46174</v>
      </c>
      <c r="B500" s="12">
        <v>84.81</v>
      </c>
      <c r="C500" s="16" t="s">
        <v>78</v>
      </c>
      <c r="D500" s="16"/>
    </row>
  </sheetData>
  <autoFilter ref="A14:D500" xr:uid="{00000000-0009-0000-0000-000002000000}"/>
  <mergeCells count="11">
    <mergeCell ref="B12:D12"/>
    <mergeCell ref="B7:D7"/>
    <mergeCell ref="B8:D8"/>
    <mergeCell ref="B9:D9"/>
    <mergeCell ref="B10:D10"/>
    <mergeCell ref="B11:D11"/>
    <mergeCell ref="A1:D1"/>
    <mergeCell ref="A2:D2"/>
    <mergeCell ref="B4:D4"/>
    <mergeCell ref="B5:D5"/>
    <mergeCell ref="B6:D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R49"/>
  <sheetViews>
    <sheetView showGridLines="0" zoomScaleNormal="100" workbookViewId="0">
      <pane ySplit="13" topLeftCell="A14" activePane="bottomLeft" state="frozen"/>
      <selection pane="bottomLeft" activeCell="H6" sqref="H6"/>
    </sheetView>
  </sheetViews>
  <sheetFormatPr defaultColWidth="8.7109375" defaultRowHeight="15" x14ac:dyDescent="0.25"/>
  <cols>
    <col min="1" max="1" width="22" customWidth="1"/>
    <col min="2" max="18" width="15" customWidth="1"/>
  </cols>
  <sheetData>
    <row r="1" spans="1:18" ht="20.25" x14ac:dyDescent="0.3">
      <c r="A1" s="8" t="s">
        <v>96</v>
      </c>
      <c r="B1" s="8"/>
      <c r="C1" s="8"/>
      <c r="D1" s="8"/>
      <c r="E1" s="8"/>
      <c r="F1" s="8"/>
      <c r="G1" s="8"/>
      <c r="H1" s="8"/>
    </row>
    <row r="2" spans="1:18" x14ac:dyDescent="0.25">
      <c r="A2" s="7" t="s">
        <v>97</v>
      </c>
      <c r="B2" s="7"/>
      <c r="C2" s="7"/>
      <c r="D2" s="7"/>
      <c r="E2" s="7"/>
      <c r="F2" s="7"/>
      <c r="G2" s="7"/>
      <c r="H2" s="7"/>
    </row>
    <row r="4" spans="1:18" ht="15.75" x14ac:dyDescent="0.25">
      <c r="A4" s="4" t="s">
        <v>98</v>
      </c>
      <c r="B4" s="4"/>
      <c r="C4" s="4"/>
      <c r="D4" s="4"/>
    </row>
    <row r="5" spans="1:18" ht="38.25" x14ac:dyDescent="0.25">
      <c r="A5" s="10" t="s">
        <v>99</v>
      </c>
      <c r="B5" s="10" t="s">
        <v>16</v>
      </c>
      <c r="C5" s="10" t="s">
        <v>100</v>
      </c>
      <c r="D5" s="10" t="s">
        <v>101</v>
      </c>
    </row>
    <row r="6" spans="1:18" ht="27.75" customHeight="1" x14ac:dyDescent="0.25">
      <c r="A6" s="27" t="s">
        <v>102</v>
      </c>
      <c r="B6" s="28">
        <f>AVERAGE(P14:P49)</f>
        <v>72.862492048382705</v>
      </c>
      <c r="C6" s="28">
        <f>AVERAGE(Q14:Q49)</f>
        <v>73.133763183648398</v>
      </c>
      <c r="D6" s="28">
        <f>AVERAGE(R14:R49)</f>
        <v>73.913450481942164</v>
      </c>
    </row>
    <row r="7" spans="1:18" ht="27.75" customHeight="1" x14ac:dyDescent="0.25">
      <c r="A7" s="27" t="s">
        <v>103</v>
      </c>
      <c r="B7" s="29">
        <f>AVERAGE(K14:K49)</f>
        <v>3351674.6342256037</v>
      </c>
      <c r="C7" s="29">
        <f>AVERAGE(M14:M49)</f>
        <v>3364153.1064478257</v>
      </c>
      <c r="D7" s="29">
        <f>AVERAGE(O14:O49)</f>
        <v>3400018.7221693392</v>
      </c>
    </row>
    <row r="8" spans="1:18" ht="27.75" customHeight="1" x14ac:dyDescent="0.25">
      <c r="A8" s="27" t="s">
        <v>104</v>
      </c>
      <c r="B8" s="29">
        <f>MIN(K14:K49)</f>
        <v>2567634.3925308017</v>
      </c>
      <c r="C8" s="29">
        <f>MIN(M14:M49)</f>
        <v>3291409.3925308017</v>
      </c>
      <c r="D8" s="29">
        <f>MIN(O14:O49)</f>
        <v>3340363.486388213</v>
      </c>
    </row>
    <row r="9" spans="1:18" ht="27.75" customHeight="1" x14ac:dyDescent="0.25">
      <c r="A9" s="27" t="s">
        <v>105</v>
      </c>
      <c r="B9" s="29">
        <f>MAX(K14:K49)</f>
        <v>4584679.7051471863</v>
      </c>
      <c r="C9" s="29">
        <f>MAX(M14:M49)</f>
        <v>3438198.5032823626</v>
      </c>
      <c r="D9" s="29">
        <f>MAX(O14:O49)</f>
        <v>3493834.3253916339</v>
      </c>
    </row>
    <row r="10" spans="1:18" ht="27.75" customHeight="1" x14ac:dyDescent="0.25">
      <c r="A10" s="27" t="s">
        <v>106</v>
      </c>
      <c r="B10" s="29">
        <v>0</v>
      </c>
      <c r="C10" s="29">
        <f>SUM(L14:L49)</f>
        <v>449224.99999999942</v>
      </c>
      <c r="D10" s="29">
        <f>SUM(L14:L49)+SUM(N14:N49)</f>
        <v>1740387.1659744936</v>
      </c>
    </row>
    <row r="11" spans="1:18" ht="27.75" customHeight="1" x14ac:dyDescent="0.25">
      <c r="A11" s="27" t="s">
        <v>107</v>
      </c>
      <c r="B11" s="30">
        <v>0</v>
      </c>
      <c r="C11" s="30">
        <f>SUM(I14:I49)</f>
        <v>0</v>
      </c>
      <c r="D11" s="30">
        <f>SUM(I14:I49)</f>
        <v>0</v>
      </c>
    </row>
    <row r="13" spans="1:18" ht="38.25" x14ac:dyDescent="0.25">
      <c r="A13" s="10" t="s">
        <v>108</v>
      </c>
      <c r="B13" s="10" t="s">
        <v>94</v>
      </c>
      <c r="C13" s="10" t="s">
        <v>109</v>
      </c>
      <c r="D13" s="10" t="s">
        <v>110</v>
      </c>
      <c r="E13" s="10" t="s">
        <v>111</v>
      </c>
      <c r="F13" s="10" t="s">
        <v>112</v>
      </c>
      <c r="G13" s="10" t="s">
        <v>113</v>
      </c>
      <c r="H13" s="10" t="s">
        <v>114</v>
      </c>
      <c r="I13" s="10" t="s">
        <v>15</v>
      </c>
      <c r="J13" s="10" t="s">
        <v>115</v>
      </c>
      <c r="K13" s="10" t="s">
        <v>116</v>
      </c>
      <c r="L13" s="10" t="s">
        <v>117</v>
      </c>
      <c r="M13" s="10" t="s">
        <v>118</v>
      </c>
      <c r="N13" s="10" t="s">
        <v>119</v>
      </c>
      <c r="O13" s="10" t="s">
        <v>120</v>
      </c>
      <c r="P13" s="10" t="s">
        <v>121</v>
      </c>
      <c r="Q13" s="10" t="s">
        <v>122</v>
      </c>
      <c r="R13" s="10" t="s">
        <v>123</v>
      </c>
    </row>
    <row r="14" spans="1:18" x14ac:dyDescent="0.25">
      <c r="A14" s="26">
        <f>AnalysisStart</f>
        <v>45108</v>
      </c>
      <c r="B14" s="12">
        <f>INDEX('Historical WTI Data'!$B$15:$B$500,MATCH(A14,'Historical WTI Data'!$A$15:$A$500,0))</f>
        <v>76.069999999999993</v>
      </c>
      <c r="C14" s="12">
        <f>BasisAssumed - (ROW()-14)*0.02 + 0.3*SIN((ROW()-14)/3)</f>
        <v>-1.5</v>
      </c>
      <c r="D14" s="12">
        <f t="shared" ref="D14:D49" si="0">B14+C14</f>
        <v>74.569999999999993</v>
      </c>
      <c r="E14" s="14">
        <f t="shared" ref="E14:E49" si="1">ProdForecast</f>
        <v>50000</v>
      </c>
      <c r="F14" s="14">
        <f t="shared" ref="F14:F49" si="2">E14*ActualPct</f>
        <v>46000</v>
      </c>
      <c r="G14" s="31">
        <f t="shared" ref="G14:G49" si="3">HedgePct</f>
        <v>0.85</v>
      </c>
      <c r="H14" s="14">
        <f t="shared" ref="H14:H49" si="4">E14*G14</f>
        <v>42500</v>
      </c>
      <c r="I14" s="14">
        <f t="shared" ref="I14:I49" si="5">MAX(H14-F14,0)</f>
        <v>0</v>
      </c>
      <c r="J14" s="13">
        <f t="shared" ref="J14:J49" si="6">F14*D14</f>
        <v>3430219.9999999995</v>
      </c>
      <c r="K14" s="13">
        <f t="shared" ref="K14:K49" si="7">J14</f>
        <v>3430219.9999999995</v>
      </c>
      <c r="L14" s="13">
        <f t="shared" ref="L14:L49" si="8">H14*(SwapPrice-B14)</f>
        <v>-45474.999999999709</v>
      </c>
      <c r="M14" s="13">
        <f t="shared" ref="M14:M49" si="9">J14+L14</f>
        <v>3384745</v>
      </c>
      <c r="N14" s="13">
        <f t="shared" ref="N14:N49" si="10">H14*(BasisLocked-C14)</f>
        <v>21250</v>
      </c>
      <c r="O14" s="13">
        <f t="shared" ref="O14:O49" si="11">J14+L14+N14</f>
        <v>3405995</v>
      </c>
      <c r="P14" s="12">
        <f t="shared" ref="P14:P49" si="12">IF(F14=0,0,K14/F14)</f>
        <v>74.569999999999993</v>
      </c>
      <c r="Q14" s="12">
        <f t="shared" ref="Q14:Q49" si="13">IF(F14=0,0,M14/F14)</f>
        <v>73.581413043478264</v>
      </c>
      <c r="R14" s="12">
        <f t="shared" ref="R14:R49" si="14">IF(F14=0,0,O14/F14)</f>
        <v>74.04336956521739</v>
      </c>
    </row>
    <row r="15" spans="1:18" x14ac:dyDescent="0.25">
      <c r="A15" s="26">
        <f>EDATE($A$14,1)</f>
        <v>45139</v>
      </c>
      <c r="B15" s="12">
        <f>INDEX('Historical WTI Data'!$B$15:$B$500,MATCH(A15,'Historical WTI Data'!$A$15:$A$500,0))</f>
        <v>81.39</v>
      </c>
      <c r="C15" s="12">
        <f>BasisAssumed - (ROW()-14)*0.02 + 0.3*SIN((ROW()-14)/3)</f>
        <v>-1.4218415909611544</v>
      </c>
      <c r="D15" s="12">
        <f t="shared" si="0"/>
        <v>79.96815840903885</v>
      </c>
      <c r="E15" s="14">
        <f t="shared" si="1"/>
        <v>50000</v>
      </c>
      <c r="F15" s="14">
        <f t="shared" si="2"/>
        <v>46000</v>
      </c>
      <c r="G15" s="31">
        <f t="shared" si="3"/>
        <v>0.85</v>
      </c>
      <c r="H15" s="14">
        <f t="shared" si="4"/>
        <v>42500</v>
      </c>
      <c r="I15" s="14">
        <f t="shared" si="5"/>
        <v>0</v>
      </c>
      <c r="J15" s="13">
        <f t="shared" si="6"/>
        <v>3678535.2868157872</v>
      </c>
      <c r="K15" s="13">
        <f t="shared" si="7"/>
        <v>3678535.2868157872</v>
      </c>
      <c r="L15" s="13">
        <f t="shared" si="8"/>
        <v>-271575</v>
      </c>
      <c r="M15" s="13">
        <f t="shared" si="9"/>
        <v>3406960.2868157872</v>
      </c>
      <c r="N15" s="13">
        <f t="shared" si="10"/>
        <v>17928.267615849061</v>
      </c>
      <c r="O15" s="13">
        <f t="shared" si="11"/>
        <v>3424888.5544316364</v>
      </c>
      <c r="P15" s="12">
        <f t="shared" si="12"/>
        <v>79.96815840903885</v>
      </c>
      <c r="Q15" s="12">
        <f t="shared" si="13"/>
        <v>74.064354061212768</v>
      </c>
      <c r="R15" s="12">
        <f t="shared" si="14"/>
        <v>74.454099009383398</v>
      </c>
    </row>
    <row r="16" spans="1:18" x14ac:dyDescent="0.25">
      <c r="A16" s="26">
        <f>EDATE($A$14,2)</f>
        <v>45170</v>
      </c>
      <c r="B16" s="12">
        <f>INDEX('Historical WTI Data'!$B$15:$B$500,MATCH(A16,'Historical WTI Data'!$A$15:$A$500,0))</f>
        <v>89.43</v>
      </c>
      <c r="C16" s="12">
        <f>BasisAssumed - (ROW()-14)*0.02 + 0.3*SIN((ROW()-14)/3)</f>
        <v>-1.354489059079079</v>
      </c>
      <c r="D16" s="12">
        <f t="shared" si="0"/>
        <v>88.075510940920921</v>
      </c>
      <c r="E16" s="14">
        <f t="shared" si="1"/>
        <v>50000</v>
      </c>
      <c r="F16" s="14">
        <f t="shared" si="2"/>
        <v>46000</v>
      </c>
      <c r="G16" s="31">
        <f t="shared" si="3"/>
        <v>0.85</v>
      </c>
      <c r="H16" s="14">
        <f t="shared" si="4"/>
        <v>42500</v>
      </c>
      <c r="I16" s="14">
        <f t="shared" si="5"/>
        <v>0</v>
      </c>
      <c r="J16" s="13">
        <f t="shared" si="6"/>
        <v>4051473.5032823626</v>
      </c>
      <c r="K16" s="13">
        <f t="shared" si="7"/>
        <v>4051473.5032823626</v>
      </c>
      <c r="L16" s="13">
        <f t="shared" si="8"/>
        <v>-613275.00000000023</v>
      </c>
      <c r="M16" s="13">
        <f t="shared" si="9"/>
        <v>3438198.5032823626</v>
      </c>
      <c r="N16" s="13">
        <f t="shared" si="10"/>
        <v>15065.785010860858</v>
      </c>
      <c r="O16" s="13">
        <f t="shared" si="11"/>
        <v>3453264.2882932234</v>
      </c>
      <c r="P16" s="12">
        <f t="shared" si="12"/>
        <v>88.075510940920921</v>
      </c>
      <c r="Q16" s="12">
        <f t="shared" si="13"/>
        <v>74.743445723529618</v>
      </c>
      <c r="R16" s="12">
        <f t="shared" si="14"/>
        <v>75.07096278898311</v>
      </c>
    </row>
    <row r="17" spans="1:18" x14ac:dyDescent="0.25">
      <c r="A17" s="26">
        <f>EDATE($A$14,3)</f>
        <v>45200</v>
      </c>
      <c r="B17" s="12">
        <f>INDEX('Historical WTI Data'!$B$15:$B$500,MATCH(A17,'Historical WTI Data'!$A$15:$A$500,0))</f>
        <v>85.64</v>
      </c>
      <c r="C17" s="12">
        <f>BasisAssumed - (ROW()-14)*0.02 + 0.3*SIN((ROW()-14)/3)</f>
        <v>-1.3075587045576311</v>
      </c>
      <c r="D17" s="12">
        <f t="shared" si="0"/>
        <v>84.332441295442365</v>
      </c>
      <c r="E17" s="14">
        <f t="shared" si="1"/>
        <v>50000</v>
      </c>
      <c r="F17" s="14">
        <f t="shared" si="2"/>
        <v>46000</v>
      </c>
      <c r="G17" s="31">
        <f t="shared" si="3"/>
        <v>0.85</v>
      </c>
      <c r="H17" s="14">
        <f t="shared" si="4"/>
        <v>42500</v>
      </c>
      <c r="I17" s="14">
        <f t="shared" si="5"/>
        <v>0</v>
      </c>
      <c r="J17" s="13">
        <f t="shared" si="6"/>
        <v>3879292.2995903487</v>
      </c>
      <c r="K17" s="13">
        <f t="shared" si="7"/>
        <v>3879292.2995903487</v>
      </c>
      <c r="L17" s="13">
        <f t="shared" si="8"/>
        <v>-452200</v>
      </c>
      <c r="M17" s="13">
        <f t="shared" si="9"/>
        <v>3427092.2995903487</v>
      </c>
      <c r="N17" s="13">
        <f t="shared" si="10"/>
        <v>13071.244943699323</v>
      </c>
      <c r="O17" s="13">
        <f t="shared" si="11"/>
        <v>3440163.5445340481</v>
      </c>
      <c r="P17" s="12">
        <f t="shared" si="12"/>
        <v>84.332441295442365</v>
      </c>
      <c r="Q17" s="12">
        <f t="shared" si="13"/>
        <v>74.502006512833674</v>
      </c>
      <c r="R17" s="12">
        <f t="shared" si="14"/>
        <v>74.786164011609742</v>
      </c>
    </row>
    <row r="18" spans="1:18" x14ac:dyDescent="0.25">
      <c r="A18" s="26">
        <f>EDATE($A$14,4)</f>
        <v>45231</v>
      </c>
      <c r="B18" s="12">
        <f>INDEX('Historical WTI Data'!$B$15:$B$500,MATCH(A18,'Historical WTI Data'!$A$15:$A$500,0))</f>
        <v>77.69</v>
      </c>
      <c r="C18" s="12">
        <f>BasisAssumed - (ROW()-14)*0.02 + 0.3*SIN((ROW()-14)/3)</f>
        <v>-1.2884186295910063</v>
      </c>
      <c r="D18" s="12">
        <f t="shared" si="0"/>
        <v>76.401581370408991</v>
      </c>
      <c r="E18" s="14">
        <f t="shared" si="1"/>
        <v>50000</v>
      </c>
      <c r="F18" s="14">
        <f t="shared" si="2"/>
        <v>46000</v>
      </c>
      <c r="G18" s="31">
        <f t="shared" si="3"/>
        <v>0.85</v>
      </c>
      <c r="H18" s="14">
        <f t="shared" si="4"/>
        <v>42500</v>
      </c>
      <c r="I18" s="14">
        <f t="shared" si="5"/>
        <v>0</v>
      </c>
      <c r="J18" s="13">
        <f t="shared" si="6"/>
        <v>3514472.7430388136</v>
      </c>
      <c r="K18" s="13">
        <f t="shared" si="7"/>
        <v>3514472.7430388136</v>
      </c>
      <c r="L18" s="13">
        <f t="shared" si="8"/>
        <v>-114324.9999999999</v>
      </c>
      <c r="M18" s="13">
        <f t="shared" si="9"/>
        <v>3400147.7430388136</v>
      </c>
      <c r="N18" s="13">
        <f t="shared" si="10"/>
        <v>12257.791757617766</v>
      </c>
      <c r="O18" s="13">
        <f t="shared" si="11"/>
        <v>3412405.5347964312</v>
      </c>
      <c r="P18" s="12">
        <f t="shared" si="12"/>
        <v>76.401581370408991</v>
      </c>
      <c r="Q18" s="12">
        <f t="shared" si="13"/>
        <v>73.916255283452472</v>
      </c>
      <c r="R18" s="12">
        <f t="shared" si="14"/>
        <v>74.182729017313719</v>
      </c>
    </row>
    <row r="19" spans="1:18" x14ac:dyDescent="0.25">
      <c r="A19" s="26">
        <f>EDATE($A$14,5)</f>
        <v>45261</v>
      </c>
      <c r="B19" s="12">
        <f>INDEX('Historical WTI Data'!$B$15:$B$500,MATCH(A19,'Historical WTI Data'!$A$15:$A$500,0))</f>
        <v>71.900000000000006</v>
      </c>
      <c r="C19" s="12">
        <f>BasisAssumed - (ROW()-14)*0.02 + 0.3*SIN((ROW()-14)/3)</f>
        <v>-1.3013776126744707</v>
      </c>
      <c r="D19" s="12">
        <f t="shared" si="0"/>
        <v>70.598622387325534</v>
      </c>
      <c r="E19" s="14">
        <f t="shared" si="1"/>
        <v>50000</v>
      </c>
      <c r="F19" s="14">
        <f t="shared" si="2"/>
        <v>46000</v>
      </c>
      <c r="G19" s="31">
        <f t="shared" si="3"/>
        <v>0.85</v>
      </c>
      <c r="H19" s="14">
        <f t="shared" si="4"/>
        <v>42500</v>
      </c>
      <c r="I19" s="14">
        <f t="shared" si="5"/>
        <v>0</v>
      </c>
      <c r="J19" s="13">
        <f t="shared" si="6"/>
        <v>3247536.6298169745</v>
      </c>
      <c r="K19" s="13">
        <f t="shared" si="7"/>
        <v>3247536.6298169745</v>
      </c>
      <c r="L19" s="13">
        <f t="shared" si="8"/>
        <v>131749.99999999977</v>
      </c>
      <c r="M19" s="13">
        <f t="shared" si="9"/>
        <v>3379286.6298169745</v>
      </c>
      <c r="N19" s="13">
        <f t="shared" si="10"/>
        <v>12808.548538665005</v>
      </c>
      <c r="O19" s="13">
        <f t="shared" si="11"/>
        <v>3392095.1783556393</v>
      </c>
      <c r="P19" s="12">
        <f t="shared" si="12"/>
        <v>70.598622387325534</v>
      </c>
      <c r="Q19" s="12">
        <f t="shared" si="13"/>
        <v>73.462752822108143</v>
      </c>
      <c r="R19" s="12">
        <f t="shared" si="14"/>
        <v>73.741199529470421</v>
      </c>
    </row>
    <row r="20" spans="1:18" x14ac:dyDescent="0.25">
      <c r="A20" s="26">
        <f>EDATE($A$14,6)</f>
        <v>45292</v>
      </c>
      <c r="B20" s="12">
        <f>INDEX('Historical WTI Data'!$B$15:$B$500,MATCH(A20,'Historical WTI Data'!$A$15:$A$500,0))</f>
        <v>74.150000000000006</v>
      </c>
      <c r="C20" s="12">
        <f>BasisAssumed - (ROW()-14)*0.02 + 0.3*SIN((ROW()-14)/3)</f>
        <v>-1.3472107719522957</v>
      </c>
      <c r="D20" s="12">
        <f t="shared" si="0"/>
        <v>72.802789228047715</v>
      </c>
      <c r="E20" s="14">
        <f t="shared" si="1"/>
        <v>50000</v>
      </c>
      <c r="F20" s="14">
        <f t="shared" si="2"/>
        <v>46000</v>
      </c>
      <c r="G20" s="31">
        <f t="shared" si="3"/>
        <v>0.85</v>
      </c>
      <c r="H20" s="14">
        <f t="shared" si="4"/>
        <v>42500</v>
      </c>
      <c r="I20" s="14">
        <f t="shared" si="5"/>
        <v>0</v>
      </c>
      <c r="J20" s="13">
        <f t="shared" si="6"/>
        <v>3348928.3044901947</v>
      </c>
      <c r="K20" s="13">
        <f t="shared" si="7"/>
        <v>3348928.3044901947</v>
      </c>
      <c r="L20" s="13">
        <f t="shared" si="8"/>
        <v>36124.99999999976</v>
      </c>
      <c r="M20" s="13">
        <f t="shared" si="9"/>
        <v>3385053.3044901942</v>
      </c>
      <c r="N20" s="13">
        <f t="shared" si="10"/>
        <v>14756.457807972565</v>
      </c>
      <c r="O20" s="13">
        <f t="shared" si="11"/>
        <v>3399809.7622981668</v>
      </c>
      <c r="P20" s="12">
        <f t="shared" si="12"/>
        <v>72.802789228047715</v>
      </c>
      <c r="Q20" s="12">
        <f t="shared" si="13"/>
        <v>73.588115315004217</v>
      </c>
      <c r="R20" s="12">
        <f t="shared" si="14"/>
        <v>73.90890787604711</v>
      </c>
    </row>
    <row r="21" spans="1:18" x14ac:dyDescent="0.25">
      <c r="A21" s="26">
        <f>EDATE($A$14,7)</f>
        <v>45323</v>
      </c>
      <c r="B21" s="12">
        <f>INDEX('Historical WTI Data'!$B$15:$B$500,MATCH(A21,'Historical WTI Data'!$A$15:$A$500,0))</f>
        <v>77.25</v>
      </c>
      <c r="C21" s="12">
        <f>BasisAssumed - (ROW()-14)*0.02 + 0.3*SIN((ROW()-14)/3)</f>
        <v>-1.4230742354785026</v>
      </c>
      <c r="D21" s="12">
        <f t="shared" si="0"/>
        <v>75.826925764521491</v>
      </c>
      <c r="E21" s="14">
        <f t="shared" si="1"/>
        <v>50000</v>
      </c>
      <c r="F21" s="14">
        <f t="shared" si="2"/>
        <v>46000</v>
      </c>
      <c r="G21" s="31">
        <f t="shared" si="3"/>
        <v>0.85</v>
      </c>
      <c r="H21" s="14">
        <f t="shared" si="4"/>
        <v>42500</v>
      </c>
      <c r="I21" s="14">
        <f t="shared" si="5"/>
        <v>0</v>
      </c>
      <c r="J21" s="13">
        <f t="shared" si="6"/>
        <v>3488038.5851679887</v>
      </c>
      <c r="K21" s="13">
        <f t="shared" si="7"/>
        <v>3488038.5851679887</v>
      </c>
      <c r="L21" s="13">
        <f t="shared" si="8"/>
        <v>-95625</v>
      </c>
      <c r="M21" s="13">
        <f t="shared" si="9"/>
        <v>3392413.5851679887</v>
      </c>
      <c r="N21" s="13">
        <f t="shared" si="10"/>
        <v>17980.655007836362</v>
      </c>
      <c r="O21" s="13">
        <f t="shared" si="11"/>
        <v>3410394.2401758251</v>
      </c>
      <c r="P21" s="12">
        <f t="shared" si="12"/>
        <v>75.826925764521491</v>
      </c>
      <c r="Q21" s="12">
        <f t="shared" si="13"/>
        <v>73.748121416695412</v>
      </c>
      <c r="R21" s="12">
        <f t="shared" si="14"/>
        <v>74.139005221213594</v>
      </c>
    </row>
    <row r="22" spans="1:18" x14ac:dyDescent="0.25">
      <c r="A22" s="26">
        <f>EDATE($A$14,8)</f>
        <v>45352</v>
      </c>
      <c r="B22" s="12">
        <f>INDEX('Historical WTI Data'!$B$15:$B$500,MATCH(A22,'Historical WTI Data'!$A$15:$A$500,0))</f>
        <v>81.28</v>
      </c>
      <c r="C22" s="12">
        <f>BasisAssumed - (ROW()-14)*0.02 + 0.3*SIN((ROW()-14)/3)</f>
        <v>-1.5228182120092564</v>
      </c>
      <c r="D22" s="12">
        <f t="shared" si="0"/>
        <v>79.757181787990746</v>
      </c>
      <c r="E22" s="14">
        <f t="shared" si="1"/>
        <v>50000</v>
      </c>
      <c r="F22" s="14">
        <f t="shared" si="2"/>
        <v>46000</v>
      </c>
      <c r="G22" s="31">
        <f t="shared" si="3"/>
        <v>0.85</v>
      </c>
      <c r="H22" s="14">
        <f t="shared" si="4"/>
        <v>42500</v>
      </c>
      <c r="I22" s="14">
        <f t="shared" si="5"/>
        <v>0</v>
      </c>
      <c r="J22" s="13">
        <f t="shared" si="6"/>
        <v>3668830.3622475741</v>
      </c>
      <c r="K22" s="13">
        <f t="shared" si="7"/>
        <v>3668830.3622475741</v>
      </c>
      <c r="L22" s="13">
        <f t="shared" si="8"/>
        <v>-266900.00000000006</v>
      </c>
      <c r="M22" s="13">
        <f t="shared" si="9"/>
        <v>3401930.3622475741</v>
      </c>
      <c r="N22" s="13">
        <f t="shared" si="10"/>
        <v>22219.774010393397</v>
      </c>
      <c r="O22" s="13">
        <f t="shared" si="11"/>
        <v>3424150.1362579674</v>
      </c>
      <c r="P22" s="12">
        <f t="shared" si="12"/>
        <v>79.757181787990746</v>
      </c>
      <c r="Q22" s="12">
        <f t="shared" si="13"/>
        <v>73.95500787494727</v>
      </c>
      <c r="R22" s="12">
        <f t="shared" si="14"/>
        <v>74.438046440390593</v>
      </c>
    </row>
    <row r="23" spans="1:18" x14ac:dyDescent="0.25">
      <c r="A23" s="26">
        <f>EDATE($A$14,9)</f>
        <v>45383</v>
      </c>
      <c r="B23" s="12">
        <f>INDEX('Historical WTI Data'!$B$15:$B$500,MATCH(A23,'Historical WTI Data'!$A$15:$A$500,0))</f>
        <v>85.35</v>
      </c>
      <c r="C23" s="12">
        <f>BasisAssumed - (ROW()-14)*0.02 + 0.3*SIN((ROW()-14)/3)</f>
        <v>-1.6376639975820397</v>
      </c>
      <c r="D23" s="12">
        <f t="shared" si="0"/>
        <v>83.712336002417956</v>
      </c>
      <c r="E23" s="14">
        <f t="shared" si="1"/>
        <v>50000</v>
      </c>
      <c r="F23" s="14">
        <f t="shared" si="2"/>
        <v>46000</v>
      </c>
      <c r="G23" s="31">
        <f t="shared" si="3"/>
        <v>0.85</v>
      </c>
      <c r="H23" s="14">
        <f t="shared" si="4"/>
        <v>42500</v>
      </c>
      <c r="I23" s="14">
        <f t="shared" si="5"/>
        <v>0</v>
      </c>
      <c r="J23" s="13">
        <f t="shared" si="6"/>
        <v>3850767.4561112258</v>
      </c>
      <c r="K23" s="13">
        <f t="shared" si="7"/>
        <v>3850767.4561112258</v>
      </c>
      <c r="L23" s="13">
        <f t="shared" si="8"/>
        <v>-439874.99999999977</v>
      </c>
      <c r="M23" s="13">
        <f t="shared" si="9"/>
        <v>3410892.4561112262</v>
      </c>
      <c r="N23" s="13">
        <f t="shared" si="10"/>
        <v>27100.71989723669</v>
      </c>
      <c r="O23" s="13">
        <f t="shared" si="11"/>
        <v>3437993.1760084629</v>
      </c>
      <c r="P23" s="12">
        <f t="shared" si="12"/>
        <v>83.712336002417956</v>
      </c>
      <c r="Q23" s="12">
        <f t="shared" si="13"/>
        <v>74.149836002417956</v>
      </c>
      <c r="R23" s="12">
        <f t="shared" si="14"/>
        <v>74.738982087140499</v>
      </c>
    </row>
    <row r="24" spans="1:18" x14ac:dyDescent="0.25">
      <c r="A24" s="26">
        <f>EDATE($A$14,10)</f>
        <v>45413</v>
      </c>
      <c r="B24" s="12">
        <f>INDEX('Historical WTI Data'!$B$15:$B$500,MATCH(A24,'Historical WTI Data'!$A$15:$A$500,0))</f>
        <v>80.02</v>
      </c>
      <c r="C24" s="12">
        <f>BasisAssumed - (ROW()-14)*0.02 + 0.3*SIN((ROW()-14)/3)</f>
        <v>-1.7571703888626455</v>
      </c>
      <c r="D24" s="12">
        <f t="shared" si="0"/>
        <v>78.262829611137349</v>
      </c>
      <c r="E24" s="14">
        <f t="shared" si="1"/>
        <v>50000</v>
      </c>
      <c r="F24" s="14">
        <f t="shared" si="2"/>
        <v>46000</v>
      </c>
      <c r="G24" s="31">
        <f t="shared" si="3"/>
        <v>0.85</v>
      </c>
      <c r="H24" s="14">
        <f t="shared" si="4"/>
        <v>42500</v>
      </c>
      <c r="I24" s="14">
        <f t="shared" si="5"/>
        <v>0</v>
      </c>
      <c r="J24" s="13">
        <f t="shared" si="6"/>
        <v>3600090.162112318</v>
      </c>
      <c r="K24" s="13">
        <f t="shared" si="7"/>
        <v>3600090.162112318</v>
      </c>
      <c r="L24" s="13">
        <f t="shared" si="8"/>
        <v>-213349.99999999983</v>
      </c>
      <c r="M24" s="13">
        <f t="shared" si="9"/>
        <v>3386740.162112318</v>
      </c>
      <c r="N24" s="13">
        <f t="shared" si="10"/>
        <v>32179.741526662434</v>
      </c>
      <c r="O24" s="13">
        <f t="shared" si="11"/>
        <v>3418919.9036389804</v>
      </c>
      <c r="P24" s="12">
        <f t="shared" si="12"/>
        <v>78.262829611137349</v>
      </c>
      <c r="Q24" s="12">
        <f t="shared" si="13"/>
        <v>73.62478613287648</v>
      </c>
      <c r="R24" s="12">
        <f t="shared" si="14"/>
        <v>74.324345731282179</v>
      </c>
    </row>
    <row r="25" spans="1:18" x14ac:dyDescent="0.25">
      <c r="A25" s="26">
        <f>EDATE($A$14,11)</f>
        <v>45444</v>
      </c>
      <c r="B25" s="12">
        <f>INDEX('Historical WTI Data'!$B$15:$B$500,MATCH(A25,'Historical WTI Data'!$A$15:$A$500,0))</f>
        <v>79.77</v>
      </c>
      <c r="C25" s="12">
        <f>BasisAssumed - (ROW()-14)*0.02 + 0.3*SIN((ROW()-14)/3)</f>
        <v>-1.8703831145765033</v>
      </c>
      <c r="D25" s="12">
        <f t="shared" si="0"/>
        <v>77.899616885423498</v>
      </c>
      <c r="E25" s="14">
        <f t="shared" si="1"/>
        <v>50000</v>
      </c>
      <c r="F25" s="14">
        <f t="shared" si="2"/>
        <v>46000</v>
      </c>
      <c r="G25" s="31">
        <f t="shared" si="3"/>
        <v>0.85</v>
      </c>
      <c r="H25" s="14">
        <f t="shared" si="4"/>
        <v>42500</v>
      </c>
      <c r="I25" s="14">
        <f t="shared" si="5"/>
        <v>0</v>
      </c>
      <c r="J25" s="13">
        <f t="shared" si="6"/>
        <v>3583382.3767294809</v>
      </c>
      <c r="K25" s="13">
        <f t="shared" si="7"/>
        <v>3583382.3767294809</v>
      </c>
      <c r="L25" s="13">
        <f t="shared" si="8"/>
        <v>-202724.99999999983</v>
      </c>
      <c r="M25" s="13">
        <f t="shared" si="9"/>
        <v>3380657.3767294809</v>
      </c>
      <c r="N25" s="13">
        <f t="shared" si="10"/>
        <v>36991.282369501394</v>
      </c>
      <c r="O25" s="13">
        <f t="shared" si="11"/>
        <v>3417648.6590989823</v>
      </c>
      <c r="P25" s="12">
        <f t="shared" si="12"/>
        <v>77.899616885423498</v>
      </c>
      <c r="Q25" s="12">
        <f t="shared" si="13"/>
        <v>73.492551668032192</v>
      </c>
      <c r="R25" s="12">
        <f t="shared" si="14"/>
        <v>74.296709980412658</v>
      </c>
    </row>
    <row r="26" spans="1:18" x14ac:dyDescent="0.25">
      <c r="A26" s="26">
        <f>EDATE($A$14,12)</f>
        <v>45474</v>
      </c>
      <c r="B26" s="12">
        <f>INDEX('Historical WTI Data'!$B$15:$B$500,MATCH(A26,'Historical WTI Data'!$A$15:$A$500,0))</f>
        <v>81.8</v>
      </c>
      <c r="C26" s="12">
        <f>BasisAssumed - (ROW()-14)*0.02 + 0.3*SIN((ROW()-14)/3)</f>
        <v>-1.9670407485923784</v>
      </c>
      <c r="D26" s="12">
        <f t="shared" si="0"/>
        <v>79.832959251407615</v>
      </c>
      <c r="E26" s="14">
        <f t="shared" si="1"/>
        <v>50000</v>
      </c>
      <c r="F26" s="14">
        <f t="shared" si="2"/>
        <v>46000</v>
      </c>
      <c r="G26" s="31">
        <f t="shared" si="3"/>
        <v>0.85</v>
      </c>
      <c r="H26" s="14">
        <f t="shared" si="4"/>
        <v>42500</v>
      </c>
      <c r="I26" s="14">
        <f t="shared" si="5"/>
        <v>0</v>
      </c>
      <c r="J26" s="13">
        <f t="shared" si="6"/>
        <v>3672316.1255647503</v>
      </c>
      <c r="K26" s="13">
        <f t="shared" si="7"/>
        <v>3672316.1255647503</v>
      </c>
      <c r="L26" s="13">
        <f t="shared" si="8"/>
        <v>-288999.99999999988</v>
      </c>
      <c r="M26" s="13">
        <f t="shared" si="9"/>
        <v>3383316.1255647503</v>
      </c>
      <c r="N26" s="13">
        <f t="shared" si="10"/>
        <v>41099.231815176085</v>
      </c>
      <c r="O26" s="13">
        <f t="shared" si="11"/>
        <v>3424415.3573799264</v>
      </c>
      <c r="P26" s="12">
        <f t="shared" si="12"/>
        <v>79.832959251407615</v>
      </c>
      <c r="Q26" s="12">
        <f t="shared" si="13"/>
        <v>73.550350555755443</v>
      </c>
      <c r="R26" s="12">
        <f t="shared" si="14"/>
        <v>74.443812116954916</v>
      </c>
    </row>
    <row r="27" spans="1:18" x14ac:dyDescent="0.25">
      <c r="A27" s="26">
        <f>EDATE($A$14,13)</f>
        <v>45505</v>
      </c>
      <c r="B27" s="12">
        <f>INDEX('Historical WTI Data'!$B$15:$B$500,MATCH(A27,'Historical WTI Data'!$A$15:$A$500,0))</f>
        <v>76.680000000000007</v>
      </c>
      <c r="C27" s="12">
        <f>BasisAssumed - (ROW()-14)*0.02 + 0.3*SIN((ROW()-14)/3)</f>
        <v>-2.0387043503812285</v>
      </c>
      <c r="D27" s="12">
        <f t="shared" si="0"/>
        <v>74.641295649618783</v>
      </c>
      <c r="E27" s="14">
        <f t="shared" si="1"/>
        <v>50000</v>
      </c>
      <c r="F27" s="14">
        <f t="shared" si="2"/>
        <v>46000</v>
      </c>
      <c r="G27" s="31">
        <f t="shared" si="3"/>
        <v>0.85</v>
      </c>
      <c r="H27" s="14">
        <f t="shared" si="4"/>
        <v>42500</v>
      </c>
      <c r="I27" s="14">
        <f t="shared" si="5"/>
        <v>0</v>
      </c>
      <c r="J27" s="13">
        <f t="shared" si="6"/>
        <v>3433499.5998824639</v>
      </c>
      <c r="K27" s="13">
        <f t="shared" si="7"/>
        <v>3433499.5998824639</v>
      </c>
      <c r="L27" s="13">
        <f t="shared" si="8"/>
        <v>-71400.000000000291</v>
      </c>
      <c r="M27" s="13">
        <f t="shared" si="9"/>
        <v>3362099.5998824635</v>
      </c>
      <c r="N27" s="13">
        <f t="shared" si="10"/>
        <v>44144.934891202211</v>
      </c>
      <c r="O27" s="13">
        <f t="shared" si="11"/>
        <v>3406244.5347736655</v>
      </c>
      <c r="P27" s="12">
        <f t="shared" si="12"/>
        <v>74.641295649618783</v>
      </c>
      <c r="Q27" s="12">
        <f t="shared" si="13"/>
        <v>73.089121736575294</v>
      </c>
      <c r="R27" s="12">
        <f t="shared" si="14"/>
        <v>74.048794234210121</v>
      </c>
    </row>
    <row r="28" spans="1:18" x14ac:dyDescent="0.25">
      <c r="A28" s="26">
        <f>EDATE($A$14,14)</f>
        <v>45536</v>
      </c>
      <c r="B28" s="12">
        <f>INDEX('Historical WTI Data'!$B$15:$B$500,MATCH(A28,'Historical WTI Data'!$A$15:$A$500,0))</f>
        <v>70.239999999999995</v>
      </c>
      <c r="C28" s="12">
        <f>BasisAssumed - (ROW()-14)*0.02 + 0.3*SIN((ROW()-14)/3)</f>
        <v>-2.0796864751293787</v>
      </c>
      <c r="D28" s="12">
        <f t="shared" si="0"/>
        <v>68.160313524870617</v>
      </c>
      <c r="E28" s="14">
        <f t="shared" si="1"/>
        <v>50000</v>
      </c>
      <c r="F28" s="14">
        <f t="shared" si="2"/>
        <v>46000</v>
      </c>
      <c r="G28" s="31">
        <f t="shared" si="3"/>
        <v>0.85</v>
      </c>
      <c r="H28" s="14">
        <f t="shared" si="4"/>
        <v>42500</v>
      </c>
      <c r="I28" s="14">
        <f t="shared" si="5"/>
        <v>0</v>
      </c>
      <c r="J28" s="13">
        <f t="shared" si="6"/>
        <v>3135374.4221440484</v>
      </c>
      <c r="K28" s="13">
        <f t="shared" si="7"/>
        <v>3135374.4221440484</v>
      </c>
      <c r="L28" s="13">
        <f t="shared" si="8"/>
        <v>202300.0000000002</v>
      </c>
      <c r="M28" s="13">
        <f t="shared" si="9"/>
        <v>3337674.4221440484</v>
      </c>
      <c r="N28" s="13">
        <f t="shared" si="10"/>
        <v>45886.675192998591</v>
      </c>
      <c r="O28" s="13">
        <f t="shared" si="11"/>
        <v>3383561.0973370471</v>
      </c>
      <c r="P28" s="12">
        <f t="shared" si="12"/>
        <v>68.160313524870617</v>
      </c>
      <c r="Q28" s="12">
        <f t="shared" si="13"/>
        <v>72.558139611827144</v>
      </c>
      <c r="R28" s="12">
        <f t="shared" si="14"/>
        <v>73.555676029066248</v>
      </c>
    </row>
    <row r="29" spans="1:18" x14ac:dyDescent="0.25">
      <c r="A29" s="26">
        <f>EDATE($A$14,15)</f>
        <v>45566</v>
      </c>
      <c r="B29" s="12">
        <f>INDEX('Historical WTI Data'!$B$15:$B$500,MATCH(A29,'Historical WTI Data'!$A$15:$A$500,0))</f>
        <v>71.989999999999995</v>
      </c>
      <c r="C29" s="12">
        <f>BasisAssumed - (ROW()-14)*0.02 + 0.3*SIN((ROW()-14)/3)</f>
        <v>-2.0876772823989418</v>
      </c>
      <c r="D29" s="12">
        <f t="shared" si="0"/>
        <v>69.902322717601052</v>
      </c>
      <c r="E29" s="14">
        <f t="shared" si="1"/>
        <v>50000</v>
      </c>
      <c r="F29" s="14">
        <f t="shared" si="2"/>
        <v>46000</v>
      </c>
      <c r="G29" s="31">
        <f t="shared" si="3"/>
        <v>0.85</v>
      </c>
      <c r="H29" s="14">
        <f t="shared" si="4"/>
        <v>42500</v>
      </c>
      <c r="I29" s="14">
        <f t="shared" si="5"/>
        <v>0</v>
      </c>
      <c r="J29" s="13">
        <f t="shared" si="6"/>
        <v>3215506.8450096482</v>
      </c>
      <c r="K29" s="13">
        <f t="shared" si="7"/>
        <v>3215506.8450096482</v>
      </c>
      <c r="L29" s="13">
        <f t="shared" si="8"/>
        <v>127925.00000000022</v>
      </c>
      <c r="M29" s="13">
        <f t="shared" si="9"/>
        <v>3343431.8450096482</v>
      </c>
      <c r="N29" s="13">
        <f t="shared" si="10"/>
        <v>46226.28450195503</v>
      </c>
      <c r="O29" s="13">
        <f t="shared" si="11"/>
        <v>3389658.1295116032</v>
      </c>
      <c r="P29" s="12">
        <f t="shared" si="12"/>
        <v>69.902322717601052</v>
      </c>
      <c r="Q29" s="12">
        <f t="shared" si="13"/>
        <v>72.683300978470612</v>
      </c>
      <c r="R29" s="12">
        <f t="shared" si="14"/>
        <v>73.688220206773977</v>
      </c>
    </row>
    <row r="30" spans="1:18" x14ac:dyDescent="0.25">
      <c r="A30" s="26">
        <f>EDATE($A$14,16)</f>
        <v>45597</v>
      </c>
      <c r="B30" s="12">
        <f>INDEX('Historical WTI Data'!$B$15:$B$500,MATCH(A30,'Historical WTI Data'!$A$15:$A$500,0))</f>
        <v>69.95</v>
      </c>
      <c r="C30" s="12">
        <f>BasisAssumed - (ROW()-14)*0.02 + 0.3*SIN((ROW()-14)/3)</f>
        <v>-2.0639988174702739</v>
      </c>
      <c r="D30" s="12">
        <f t="shared" si="0"/>
        <v>67.886001182529725</v>
      </c>
      <c r="E30" s="14">
        <f t="shared" si="1"/>
        <v>50000</v>
      </c>
      <c r="F30" s="14">
        <f t="shared" si="2"/>
        <v>46000</v>
      </c>
      <c r="G30" s="31">
        <f t="shared" si="3"/>
        <v>0.85</v>
      </c>
      <c r="H30" s="14">
        <f t="shared" si="4"/>
        <v>42500</v>
      </c>
      <c r="I30" s="14">
        <f t="shared" si="5"/>
        <v>0</v>
      </c>
      <c r="J30" s="13">
        <f t="shared" si="6"/>
        <v>3122756.0543963672</v>
      </c>
      <c r="K30" s="13">
        <f t="shared" si="7"/>
        <v>3122756.0543963672</v>
      </c>
      <c r="L30" s="13">
        <f t="shared" si="8"/>
        <v>214624.99999999988</v>
      </c>
      <c r="M30" s="13">
        <f t="shared" si="9"/>
        <v>3337381.0543963672</v>
      </c>
      <c r="N30" s="13">
        <f t="shared" si="10"/>
        <v>45219.949742486642</v>
      </c>
      <c r="O30" s="13">
        <f t="shared" si="11"/>
        <v>3382601.0041388539</v>
      </c>
      <c r="P30" s="12">
        <f t="shared" si="12"/>
        <v>67.886001182529725</v>
      </c>
      <c r="Q30" s="12">
        <f t="shared" si="13"/>
        <v>72.551762052094944</v>
      </c>
      <c r="R30" s="12">
        <f t="shared" si="14"/>
        <v>73.534804437801171</v>
      </c>
    </row>
    <row r="31" spans="1:18" x14ac:dyDescent="0.25">
      <c r="A31" s="26">
        <f>EDATE($A$14,17)</f>
        <v>45627</v>
      </c>
      <c r="B31" s="12">
        <f>INDEX('Historical WTI Data'!$B$15:$B$500,MATCH(A31,'Historical WTI Data'!$A$15:$A$500,0))</f>
        <v>70.12</v>
      </c>
      <c r="C31" s="12">
        <f>BasisAssumed - (ROW()-14)*0.02 + 0.3*SIN((ROW()-14)/3)</f>
        <v>-2.0134594725232926</v>
      </c>
      <c r="D31" s="12">
        <f t="shared" si="0"/>
        <v>68.10654052747671</v>
      </c>
      <c r="E31" s="14">
        <f t="shared" si="1"/>
        <v>50000</v>
      </c>
      <c r="F31" s="14">
        <f t="shared" si="2"/>
        <v>46000</v>
      </c>
      <c r="G31" s="31">
        <f t="shared" si="3"/>
        <v>0.85</v>
      </c>
      <c r="H31" s="14">
        <f t="shared" si="4"/>
        <v>42500</v>
      </c>
      <c r="I31" s="14">
        <f t="shared" si="5"/>
        <v>0</v>
      </c>
      <c r="J31" s="13">
        <f t="shared" si="6"/>
        <v>3132900.8642639285</v>
      </c>
      <c r="K31" s="13">
        <f t="shared" si="7"/>
        <v>3132900.8642639285</v>
      </c>
      <c r="L31" s="13">
        <f t="shared" si="8"/>
        <v>207399.9999999998</v>
      </c>
      <c r="M31" s="13">
        <f t="shared" si="9"/>
        <v>3340300.8642639285</v>
      </c>
      <c r="N31" s="13">
        <f t="shared" si="10"/>
        <v>43072.027582239934</v>
      </c>
      <c r="O31" s="13">
        <f t="shared" si="11"/>
        <v>3383372.8918461683</v>
      </c>
      <c r="P31" s="12">
        <f t="shared" si="12"/>
        <v>68.10654052747671</v>
      </c>
      <c r="Q31" s="12">
        <f t="shared" si="13"/>
        <v>72.615236179650623</v>
      </c>
      <c r="R31" s="12">
        <f t="shared" si="14"/>
        <v>73.551584605351479</v>
      </c>
    </row>
    <row r="32" spans="1:18" x14ac:dyDescent="0.25">
      <c r="A32" s="26">
        <f>EDATE($A$14,18)</f>
        <v>45658</v>
      </c>
      <c r="B32" s="12">
        <f>INDEX('Historical WTI Data'!$B$15:$B$500,MATCH(A32,'Historical WTI Data'!$A$15:$A$500,0))</f>
        <v>75.739999999999995</v>
      </c>
      <c r="C32" s="12">
        <f>BasisAssumed - (ROW()-14)*0.02 + 0.3*SIN((ROW()-14)/3)</f>
        <v>-1.9438246494596776</v>
      </c>
      <c r="D32" s="12">
        <f t="shared" si="0"/>
        <v>73.796175350540324</v>
      </c>
      <c r="E32" s="14">
        <f t="shared" si="1"/>
        <v>50000</v>
      </c>
      <c r="F32" s="14">
        <f t="shared" si="2"/>
        <v>46000</v>
      </c>
      <c r="G32" s="31">
        <f t="shared" si="3"/>
        <v>0.85</v>
      </c>
      <c r="H32" s="14">
        <f t="shared" si="4"/>
        <v>42500</v>
      </c>
      <c r="I32" s="14">
        <f t="shared" si="5"/>
        <v>0</v>
      </c>
      <c r="J32" s="13">
        <f t="shared" si="6"/>
        <v>3394624.0661248551</v>
      </c>
      <c r="K32" s="13">
        <f t="shared" si="7"/>
        <v>3394624.0661248551</v>
      </c>
      <c r="L32" s="13">
        <f t="shared" si="8"/>
        <v>-31449.999999999782</v>
      </c>
      <c r="M32" s="13">
        <f t="shared" si="9"/>
        <v>3363174.0661248551</v>
      </c>
      <c r="N32" s="13">
        <f t="shared" si="10"/>
        <v>40112.547602036298</v>
      </c>
      <c r="O32" s="13">
        <f t="shared" si="11"/>
        <v>3403286.6137268916</v>
      </c>
      <c r="P32" s="12">
        <f t="shared" si="12"/>
        <v>73.796175350540324</v>
      </c>
      <c r="Q32" s="12">
        <f t="shared" si="13"/>
        <v>73.112479698366414</v>
      </c>
      <c r="R32" s="12">
        <f t="shared" si="14"/>
        <v>73.98449160275851</v>
      </c>
    </row>
    <row r="33" spans="1:18" x14ac:dyDescent="0.25">
      <c r="A33" s="26">
        <f>EDATE($A$14,19)</f>
        <v>45689</v>
      </c>
      <c r="B33" s="12">
        <f>INDEX('Historical WTI Data'!$B$15:$B$500,MATCH(A33,'Historical WTI Data'!$A$15:$A$500,0))</f>
        <v>71.53</v>
      </c>
      <c r="C33" s="12">
        <f>BasisAssumed - (ROW()-14)*0.02 + 0.3*SIN((ROW()-14)/3)</f>
        <v>-1.8649618970353481</v>
      </c>
      <c r="D33" s="12">
        <f t="shared" si="0"/>
        <v>69.665038102964658</v>
      </c>
      <c r="E33" s="14">
        <f t="shared" si="1"/>
        <v>50000</v>
      </c>
      <c r="F33" s="14">
        <f t="shared" si="2"/>
        <v>46000</v>
      </c>
      <c r="G33" s="31">
        <f t="shared" si="3"/>
        <v>0.85</v>
      </c>
      <c r="H33" s="14">
        <f t="shared" si="4"/>
        <v>42500</v>
      </c>
      <c r="I33" s="14">
        <f t="shared" si="5"/>
        <v>0</v>
      </c>
      <c r="J33" s="13">
        <f t="shared" si="6"/>
        <v>3204591.7527363743</v>
      </c>
      <c r="K33" s="13">
        <f t="shared" si="7"/>
        <v>3204591.7527363743</v>
      </c>
      <c r="L33" s="13">
        <f t="shared" si="8"/>
        <v>147474.99999999994</v>
      </c>
      <c r="M33" s="13">
        <f t="shared" si="9"/>
        <v>3352066.7527363743</v>
      </c>
      <c r="N33" s="13">
        <f t="shared" si="10"/>
        <v>36760.880624002297</v>
      </c>
      <c r="O33" s="13">
        <f t="shared" si="11"/>
        <v>3388827.6333603766</v>
      </c>
      <c r="P33" s="12">
        <f t="shared" si="12"/>
        <v>69.665038102964658</v>
      </c>
      <c r="Q33" s="12">
        <f t="shared" si="13"/>
        <v>72.871016363834229</v>
      </c>
      <c r="R33" s="12">
        <f t="shared" si="14"/>
        <v>73.670165942616876</v>
      </c>
    </row>
    <row r="34" spans="1:18" x14ac:dyDescent="0.25">
      <c r="A34" s="26">
        <f>EDATE($A$14,20)</f>
        <v>45717</v>
      </c>
      <c r="B34" s="12">
        <f>INDEX('Historical WTI Data'!$B$15:$B$500,MATCH(A34,'Historical WTI Data'!$A$15:$A$500,0))</f>
        <v>68.239999999999995</v>
      </c>
      <c r="C34" s="12">
        <f>BasisAssumed - (ROW()-14)*0.02 + 0.3*SIN((ROW()-14)/3)</f>
        <v>-1.7877546308286338</v>
      </c>
      <c r="D34" s="12">
        <f t="shared" si="0"/>
        <v>66.452245369171365</v>
      </c>
      <c r="E34" s="14">
        <f t="shared" si="1"/>
        <v>50000</v>
      </c>
      <c r="F34" s="14">
        <f t="shared" si="2"/>
        <v>46000</v>
      </c>
      <c r="G34" s="31">
        <f t="shared" si="3"/>
        <v>0.85</v>
      </c>
      <c r="H34" s="14">
        <f t="shared" si="4"/>
        <v>42500</v>
      </c>
      <c r="I34" s="14">
        <f t="shared" si="5"/>
        <v>0</v>
      </c>
      <c r="J34" s="13">
        <f t="shared" si="6"/>
        <v>3056803.286981883</v>
      </c>
      <c r="K34" s="13">
        <f t="shared" si="7"/>
        <v>3056803.286981883</v>
      </c>
      <c r="L34" s="13">
        <f t="shared" si="8"/>
        <v>287300.00000000023</v>
      </c>
      <c r="M34" s="13">
        <f t="shared" si="9"/>
        <v>3344103.2869818835</v>
      </c>
      <c r="N34" s="13">
        <f t="shared" si="10"/>
        <v>33479.571810216941</v>
      </c>
      <c r="O34" s="13">
        <f t="shared" si="11"/>
        <v>3377582.8587921006</v>
      </c>
      <c r="P34" s="12">
        <f t="shared" si="12"/>
        <v>66.452245369171365</v>
      </c>
      <c r="Q34" s="12">
        <f t="shared" si="13"/>
        <v>72.697897543084423</v>
      </c>
      <c r="R34" s="12">
        <f t="shared" si="14"/>
        <v>73.425714321567398</v>
      </c>
    </row>
    <row r="35" spans="1:18" x14ac:dyDescent="0.25">
      <c r="A35" s="26">
        <f>EDATE($A$14,21)</f>
        <v>45748</v>
      </c>
      <c r="B35" s="12">
        <f>INDEX('Historical WTI Data'!$B$15:$B$500,MATCH(A35,'Historical WTI Data'!$A$15:$A$500,0))</f>
        <v>63.54</v>
      </c>
      <c r="C35" s="12">
        <f>BasisAssumed - (ROW()-14)*0.02 + 0.3*SIN((ROW()-14)/3)</f>
        <v>-1.7229040203843633</v>
      </c>
      <c r="D35" s="12">
        <f t="shared" si="0"/>
        <v>61.817095979615637</v>
      </c>
      <c r="E35" s="14">
        <f t="shared" si="1"/>
        <v>50000</v>
      </c>
      <c r="F35" s="14">
        <f t="shared" si="2"/>
        <v>46000</v>
      </c>
      <c r="G35" s="31">
        <f t="shared" si="3"/>
        <v>0.85</v>
      </c>
      <c r="H35" s="14">
        <f t="shared" si="4"/>
        <v>42500</v>
      </c>
      <c r="I35" s="14">
        <f t="shared" si="5"/>
        <v>0</v>
      </c>
      <c r="J35" s="13">
        <f t="shared" si="6"/>
        <v>2843586.4150623195</v>
      </c>
      <c r="K35" s="13">
        <f t="shared" si="7"/>
        <v>2843586.4150623195</v>
      </c>
      <c r="L35" s="13">
        <f t="shared" si="8"/>
        <v>487050.00000000006</v>
      </c>
      <c r="M35" s="13">
        <f t="shared" si="9"/>
        <v>3330636.4150623195</v>
      </c>
      <c r="N35" s="13">
        <f t="shared" si="10"/>
        <v>30723.42086633544</v>
      </c>
      <c r="O35" s="13">
        <f t="shared" si="11"/>
        <v>3361359.8359286548</v>
      </c>
      <c r="P35" s="12">
        <f t="shared" si="12"/>
        <v>61.817095979615644</v>
      </c>
      <c r="Q35" s="12">
        <f t="shared" si="13"/>
        <v>72.405139457876516</v>
      </c>
      <c r="R35" s="12">
        <f t="shared" si="14"/>
        <v>73.073039911492501</v>
      </c>
    </row>
    <row r="36" spans="1:18" x14ac:dyDescent="0.25">
      <c r="A36" s="26">
        <f>EDATE($A$14,22)</f>
        <v>45778</v>
      </c>
      <c r="B36" s="12">
        <f>INDEX('Historical WTI Data'!$B$15:$B$500,MATCH(A36,'Historical WTI Data'!$A$15:$A$500,0))</f>
        <v>62.17</v>
      </c>
      <c r="C36" s="12">
        <f>BasisAssumed - (ROW()-14)*0.02 + 0.3*SIN((ROW()-14)/3)</f>
        <v>-1.6797509391143581</v>
      </c>
      <c r="D36" s="12">
        <f t="shared" si="0"/>
        <v>60.490249060885645</v>
      </c>
      <c r="E36" s="14">
        <f t="shared" si="1"/>
        <v>50000</v>
      </c>
      <c r="F36" s="14">
        <f t="shared" si="2"/>
        <v>46000</v>
      </c>
      <c r="G36" s="31">
        <f t="shared" si="3"/>
        <v>0.85</v>
      </c>
      <c r="H36" s="14">
        <f t="shared" si="4"/>
        <v>42500</v>
      </c>
      <c r="I36" s="14">
        <f t="shared" si="5"/>
        <v>0</v>
      </c>
      <c r="J36" s="13">
        <f t="shared" si="6"/>
        <v>2782551.4568007397</v>
      </c>
      <c r="K36" s="13">
        <f t="shared" si="7"/>
        <v>2782551.4568007397</v>
      </c>
      <c r="L36" s="13">
        <f t="shared" si="8"/>
        <v>545274.99999999988</v>
      </c>
      <c r="M36" s="13">
        <f t="shared" si="9"/>
        <v>3327826.4568007397</v>
      </c>
      <c r="N36" s="13">
        <f t="shared" si="10"/>
        <v>28889.414912360222</v>
      </c>
      <c r="O36" s="13">
        <f t="shared" si="11"/>
        <v>3356715.8717131</v>
      </c>
      <c r="P36" s="12">
        <f t="shared" si="12"/>
        <v>60.490249060885645</v>
      </c>
      <c r="Q36" s="12">
        <f t="shared" si="13"/>
        <v>72.34405340871173</v>
      </c>
      <c r="R36" s="12">
        <f t="shared" si="14"/>
        <v>72.972084167676087</v>
      </c>
    </row>
    <row r="37" spans="1:18" x14ac:dyDescent="0.25">
      <c r="A37" s="26">
        <f>EDATE($A$14,23)</f>
        <v>45809</v>
      </c>
      <c r="B37" s="12">
        <f>INDEX('Historical WTI Data'!$B$15:$B$500,MATCH(A37,'Historical WTI Data'!$A$15:$A$500,0))</f>
        <v>68.17</v>
      </c>
      <c r="C37" s="12">
        <f>BasisAssumed - (ROW()-14)*0.02 + 0.3*SIN((ROW()-14)/3)</f>
        <v>-1.6652476639040881</v>
      </c>
      <c r="D37" s="12">
        <f t="shared" si="0"/>
        <v>66.504752336095919</v>
      </c>
      <c r="E37" s="14">
        <f t="shared" si="1"/>
        <v>50000</v>
      </c>
      <c r="F37" s="14">
        <f t="shared" si="2"/>
        <v>46000</v>
      </c>
      <c r="G37" s="31">
        <f t="shared" si="3"/>
        <v>0.85</v>
      </c>
      <c r="H37" s="14">
        <f t="shared" si="4"/>
        <v>42500</v>
      </c>
      <c r="I37" s="14">
        <f t="shared" si="5"/>
        <v>0</v>
      </c>
      <c r="J37" s="13">
        <f t="shared" si="6"/>
        <v>3059218.6074604122</v>
      </c>
      <c r="K37" s="13">
        <f t="shared" si="7"/>
        <v>3059218.6074604122</v>
      </c>
      <c r="L37" s="13">
        <f t="shared" si="8"/>
        <v>290274.99999999994</v>
      </c>
      <c r="M37" s="13">
        <f t="shared" si="9"/>
        <v>3349493.6074604122</v>
      </c>
      <c r="N37" s="13">
        <f t="shared" si="10"/>
        <v>28273.025715923744</v>
      </c>
      <c r="O37" s="13">
        <f t="shared" si="11"/>
        <v>3377766.6331763361</v>
      </c>
      <c r="P37" s="12">
        <f t="shared" si="12"/>
        <v>66.504752336095919</v>
      </c>
      <c r="Q37" s="12">
        <f t="shared" si="13"/>
        <v>72.815078423052441</v>
      </c>
      <c r="R37" s="12">
        <f t="shared" si="14"/>
        <v>73.429709416876875</v>
      </c>
    </row>
    <row r="38" spans="1:18" x14ac:dyDescent="0.25">
      <c r="A38" s="26">
        <f>EDATE($A$14,24)</f>
        <v>45839</v>
      </c>
      <c r="B38" s="12">
        <f>INDEX('Historical WTI Data'!$B$15:$B$500,MATCH(A38,'Historical WTI Data'!$A$15:$A$500,0))</f>
        <v>68.39</v>
      </c>
      <c r="C38" s="12">
        <f>BasisAssumed - (ROW()-14)*0.02 + 0.3*SIN((ROW()-14)/3)</f>
        <v>-1.6831925260129854</v>
      </c>
      <c r="D38" s="12">
        <f t="shared" si="0"/>
        <v>66.706807473987013</v>
      </c>
      <c r="E38" s="14">
        <f t="shared" si="1"/>
        <v>50000</v>
      </c>
      <c r="F38" s="14">
        <f t="shared" si="2"/>
        <v>46000</v>
      </c>
      <c r="G38" s="31">
        <f t="shared" si="3"/>
        <v>0.85</v>
      </c>
      <c r="H38" s="14">
        <f t="shared" si="4"/>
        <v>42500</v>
      </c>
      <c r="I38" s="14">
        <f t="shared" si="5"/>
        <v>0</v>
      </c>
      <c r="J38" s="13">
        <f t="shared" si="6"/>
        <v>3068513.1438034028</v>
      </c>
      <c r="K38" s="13">
        <f t="shared" si="7"/>
        <v>3068513.1438034028</v>
      </c>
      <c r="L38" s="13">
        <f t="shared" si="8"/>
        <v>280925</v>
      </c>
      <c r="M38" s="13">
        <f t="shared" si="9"/>
        <v>3349438.1438034028</v>
      </c>
      <c r="N38" s="13">
        <f t="shared" si="10"/>
        <v>29035.682355551879</v>
      </c>
      <c r="O38" s="13">
        <f t="shared" si="11"/>
        <v>3378473.8261589548</v>
      </c>
      <c r="P38" s="12">
        <f t="shared" si="12"/>
        <v>66.706807473987013</v>
      </c>
      <c r="Q38" s="12">
        <f t="shared" si="13"/>
        <v>72.813872691378322</v>
      </c>
      <c r="R38" s="12">
        <f t="shared" si="14"/>
        <v>73.445083177368588</v>
      </c>
    </row>
    <row r="39" spans="1:18" x14ac:dyDescent="0.25">
      <c r="A39" s="26">
        <f>EDATE($A$14,25)</f>
        <v>45870</v>
      </c>
      <c r="B39" s="12">
        <f>INDEX('Historical WTI Data'!$B$15:$B$500,MATCH(A39,'Historical WTI Data'!$A$15:$A$500,0))</f>
        <v>64.86</v>
      </c>
      <c r="C39" s="12">
        <f>BasisAssumed - (ROW()-14)*0.02 + 0.3*SIN((ROW()-14)/3)</f>
        <v>-1.7338117675715916</v>
      </c>
      <c r="D39" s="12">
        <f t="shared" si="0"/>
        <v>63.126188232428404</v>
      </c>
      <c r="E39" s="14">
        <f t="shared" si="1"/>
        <v>50000</v>
      </c>
      <c r="F39" s="14">
        <f t="shared" si="2"/>
        <v>46000</v>
      </c>
      <c r="G39" s="31">
        <f t="shared" si="3"/>
        <v>0.85</v>
      </c>
      <c r="H39" s="14">
        <f t="shared" si="4"/>
        <v>42500</v>
      </c>
      <c r="I39" s="14">
        <f t="shared" si="5"/>
        <v>0</v>
      </c>
      <c r="J39" s="13">
        <f t="shared" si="6"/>
        <v>2903804.6586917066</v>
      </c>
      <c r="K39" s="13">
        <f t="shared" si="7"/>
        <v>2903804.6586917066</v>
      </c>
      <c r="L39" s="13">
        <f t="shared" si="8"/>
        <v>430950</v>
      </c>
      <c r="M39" s="13">
        <f t="shared" si="9"/>
        <v>3334754.6586917066</v>
      </c>
      <c r="N39" s="13">
        <f t="shared" si="10"/>
        <v>31187.000121792644</v>
      </c>
      <c r="O39" s="13">
        <f t="shared" si="11"/>
        <v>3365941.6588134994</v>
      </c>
      <c r="P39" s="12">
        <f t="shared" si="12"/>
        <v>63.126188232428404</v>
      </c>
      <c r="Q39" s="12">
        <f t="shared" si="13"/>
        <v>72.49466649329797</v>
      </c>
      <c r="R39" s="12">
        <f t="shared" si="14"/>
        <v>73.172644756815203</v>
      </c>
    </row>
    <row r="40" spans="1:18" x14ac:dyDescent="0.25">
      <c r="A40" s="26">
        <f>EDATE($A$14,26)</f>
        <v>45901</v>
      </c>
      <c r="B40" s="12">
        <f>INDEX('Historical WTI Data'!$B$15:$B$500,MATCH(A40,'Historical WTI Data'!$A$15:$A$500,0))</f>
        <v>63.96</v>
      </c>
      <c r="C40" s="12">
        <f>BasisAssumed - (ROW()-14)*0.02 + 0.3*SIN((ROW()-14)/3)</f>
        <v>-1.8137346354660815</v>
      </c>
      <c r="D40" s="12">
        <f t="shared" si="0"/>
        <v>62.146265364533917</v>
      </c>
      <c r="E40" s="14">
        <f t="shared" si="1"/>
        <v>50000</v>
      </c>
      <c r="F40" s="14">
        <f t="shared" si="2"/>
        <v>46000</v>
      </c>
      <c r="G40" s="31">
        <f t="shared" si="3"/>
        <v>0.85</v>
      </c>
      <c r="H40" s="14">
        <f t="shared" si="4"/>
        <v>42500</v>
      </c>
      <c r="I40" s="14">
        <f t="shared" si="5"/>
        <v>0</v>
      </c>
      <c r="J40" s="13">
        <f t="shared" si="6"/>
        <v>2858728.2067685602</v>
      </c>
      <c r="K40" s="13">
        <f t="shared" si="7"/>
        <v>2858728.2067685602</v>
      </c>
      <c r="L40" s="13">
        <f t="shared" si="8"/>
        <v>469199.99999999994</v>
      </c>
      <c r="M40" s="13">
        <f t="shared" si="9"/>
        <v>3327928.2067685602</v>
      </c>
      <c r="N40" s="13">
        <f t="shared" si="10"/>
        <v>34583.722007308461</v>
      </c>
      <c r="O40" s="13">
        <f t="shared" si="11"/>
        <v>3362511.9287758688</v>
      </c>
      <c r="P40" s="12">
        <f t="shared" si="12"/>
        <v>62.146265364533917</v>
      </c>
      <c r="Q40" s="12">
        <f t="shared" si="13"/>
        <v>72.34626536453392</v>
      </c>
      <c r="R40" s="12">
        <f t="shared" si="14"/>
        <v>73.098085408171059</v>
      </c>
    </row>
    <row r="41" spans="1:18" x14ac:dyDescent="0.25">
      <c r="A41" s="26">
        <f>EDATE($A$14,27)</f>
        <v>45931</v>
      </c>
      <c r="B41" s="12">
        <f>INDEX('Historical WTI Data'!$B$15:$B$500,MATCH(A41,'Historical WTI Data'!$A$15:$A$500,0))</f>
        <v>60.89</v>
      </c>
      <c r="C41" s="12">
        <f>BasisAssumed - (ROW()-14)*0.02 + 0.3*SIN((ROW()-14)/3)</f>
        <v>-1.9163644544274732</v>
      </c>
      <c r="D41" s="12">
        <f t="shared" si="0"/>
        <v>58.973635545572527</v>
      </c>
      <c r="E41" s="14">
        <f t="shared" si="1"/>
        <v>50000</v>
      </c>
      <c r="F41" s="14">
        <f t="shared" si="2"/>
        <v>46000</v>
      </c>
      <c r="G41" s="31">
        <f t="shared" si="3"/>
        <v>0.85</v>
      </c>
      <c r="H41" s="14">
        <f t="shared" si="4"/>
        <v>42500</v>
      </c>
      <c r="I41" s="14">
        <f t="shared" si="5"/>
        <v>0</v>
      </c>
      <c r="J41" s="13">
        <f t="shared" si="6"/>
        <v>2712787.2350963363</v>
      </c>
      <c r="K41" s="13">
        <f t="shared" si="7"/>
        <v>2712787.2350963363</v>
      </c>
      <c r="L41" s="13">
        <f t="shared" si="8"/>
        <v>599675</v>
      </c>
      <c r="M41" s="13">
        <f t="shared" si="9"/>
        <v>3312462.2350963363</v>
      </c>
      <c r="N41" s="13">
        <f t="shared" si="10"/>
        <v>38945.489313167607</v>
      </c>
      <c r="O41" s="13">
        <f t="shared" si="11"/>
        <v>3351407.7244095039</v>
      </c>
      <c r="P41" s="12">
        <f t="shared" si="12"/>
        <v>58.973635545572527</v>
      </c>
      <c r="Q41" s="12">
        <f t="shared" si="13"/>
        <v>72.010048589050797</v>
      </c>
      <c r="R41" s="12">
        <f t="shared" si="14"/>
        <v>72.856689661076175</v>
      </c>
    </row>
    <row r="42" spans="1:18" x14ac:dyDescent="0.25">
      <c r="A42" s="26">
        <f>EDATE($A$14,28)</f>
        <v>45962</v>
      </c>
      <c r="B42" s="12">
        <f>INDEX('Historical WTI Data'!$B$15:$B$500,MATCH(A42,'Historical WTI Data'!$A$15:$A$500,0))</f>
        <v>60.06</v>
      </c>
      <c r="C42" s="12">
        <f>BasisAssumed - (ROW()-14)*0.02 + 0.3*SIN((ROW()-14)/3)</f>
        <v>-2.0326048293335752</v>
      </c>
      <c r="D42" s="12">
        <f t="shared" si="0"/>
        <v>58.027395170666423</v>
      </c>
      <c r="E42" s="14">
        <f t="shared" si="1"/>
        <v>50000</v>
      </c>
      <c r="F42" s="14">
        <f t="shared" si="2"/>
        <v>46000</v>
      </c>
      <c r="G42" s="31">
        <f t="shared" si="3"/>
        <v>0.85</v>
      </c>
      <c r="H42" s="14">
        <f t="shared" si="4"/>
        <v>42500</v>
      </c>
      <c r="I42" s="14">
        <f t="shared" si="5"/>
        <v>0</v>
      </c>
      <c r="J42" s="13">
        <f t="shared" si="6"/>
        <v>2669260.1778506553</v>
      </c>
      <c r="K42" s="13">
        <f t="shared" si="7"/>
        <v>2669260.1778506553</v>
      </c>
      <c r="L42" s="13">
        <f t="shared" si="8"/>
        <v>634949.99999999988</v>
      </c>
      <c r="M42" s="13">
        <f t="shared" si="9"/>
        <v>3304210.1778506553</v>
      </c>
      <c r="N42" s="13">
        <f t="shared" si="10"/>
        <v>43885.705246676946</v>
      </c>
      <c r="O42" s="13">
        <f t="shared" si="11"/>
        <v>3348095.8830973324</v>
      </c>
      <c r="P42" s="12">
        <f t="shared" si="12"/>
        <v>58.027395170666416</v>
      </c>
      <c r="Q42" s="12">
        <f t="shared" si="13"/>
        <v>71.830656040231631</v>
      </c>
      <c r="R42" s="12">
        <f t="shared" si="14"/>
        <v>72.784693110811574</v>
      </c>
    </row>
    <row r="43" spans="1:18" x14ac:dyDescent="0.25">
      <c r="A43" s="26">
        <f>EDATE($A$14,29)</f>
        <v>45992</v>
      </c>
      <c r="B43" s="12">
        <f>INDEX('Historical WTI Data'!$B$15:$B$500,MATCH(A43,'Historical WTI Data'!$A$15:$A$500,0))</f>
        <v>57.97</v>
      </c>
      <c r="C43" s="12">
        <f>BasisAssumed - (ROW()-14)*0.02 + 0.3*SIN((ROW()-14)/3)</f>
        <v>-2.1518610319390947</v>
      </c>
      <c r="D43" s="12">
        <f t="shared" si="0"/>
        <v>55.818138968060907</v>
      </c>
      <c r="E43" s="14">
        <f t="shared" si="1"/>
        <v>50000</v>
      </c>
      <c r="F43" s="14">
        <f t="shared" si="2"/>
        <v>46000</v>
      </c>
      <c r="G43" s="31">
        <f t="shared" si="3"/>
        <v>0.85</v>
      </c>
      <c r="H43" s="14">
        <f t="shared" si="4"/>
        <v>42500</v>
      </c>
      <c r="I43" s="14">
        <f t="shared" si="5"/>
        <v>0</v>
      </c>
      <c r="J43" s="13">
        <f t="shared" si="6"/>
        <v>2567634.3925308017</v>
      </c>
      <c r="K43" s="13">
        <f t="shared" si="7"/>
        <v>2567634.3925308017</v>
      </c>
      <c r="L43" s="13">
        <f t="shared" si="8"/>
        <v>723775</v>
      </c>
      <c r="M43" s="13">
        <f t="shared" si="9"/>
        <v>3291409.3925308017</v>
      </c>
      <c r="N43" s="13">
        <f t="shared" si="10"/>
        <v>48954.093857411528</v>
      </c>
      <c r="O43" s="13">
        <f t="shared" si="11"/>
        <v>3340363.486388213</v>
      </c>
      <c r="P43" s="12">
        <f t="shared" si="12"/>
        <v>55.818138968060907</v>
      </c>
      <c r="Q43" s="12">
        <f t="shared" si="13"/>
        <v>71.552378098495694</v>
      </c>
      <c r="R43" s="12">
        <f t="shared" si="14"/>
        <v>72.616597530178538</v>
      </c>
    </row>
    <row r="44" spans="1:18" x14ac:dyDescent="0.25">
      <c r="A44" s="26">
        <f>EDATE($A$14,30)</f>
        <v>46023</v>
      </c>
      <c r="B44" s="12">
        <f>INDEX('Historical WTI Data'!$B$15:$B$500,MATCH(A44,'Historical WTI Data'!$A$15:$A$500,0))</f>
        <v>60.04</v>
      </c>
      <c r="C44" s="12">
        <f>BasisAssumed - (ROW()-14)*0.02 + 0.3*SIN((ROW()-14)/3)</f>
        <v>-2.2632063332668109</v>
      </c>
      <c r="D44" s="12">
        <f t="shared" si="0"/>
        <v>57.776793666733191</v>
      </c>
      <c r="E44" s="14">
        <f t="shared" si="1"/>
        <v>50000</v>
      </c>
      <c r="F44" s="14">
        <f t="shared" si="2"/>
        <v>46000</v>
      </c>
      <c r="G44" s="31">
        <f t="shared" si="3"/>
        <v>0.85</v>
      </c>
      <c r="H44" s="14">
        <f t="shared" si="4"/>
        <v>42500</v>
      </c>
      <c r="I44" s="14">
        <f t="shared" si="5"/>
        <v>0</v>
      </c>
      <c r="J44" s="13">
        <f t="shared" si="6"/>
        <v>2657732.5086697266</v>
      </c>
      <c r="K44" s="13">
        <f t="shared" si="7"/>
        <v>2657732.5086697266</v>
      </c>
      <c r="L44" s="13">
        <f t="shared" si="8"/>
        <v>635800</v>
      </c>
      <c r="M44" s="13">
        <f t="shared" si="9"/>
        <v>3293532.5086697266</v>
      </c>
      <c r="N44" s="13">
        <f t="shared" si="10"/>
        <v>53686.269163839461</v>
      </c>
      <c r="O44" s="13">
        <f t="shared" si="11"/>
        <v>3347218.7778335661</v>
      </c>
      <c r="P44" s="12">
        <f t="shared" si="12"/>
        <v>57.776793666733184</v>
      </c>
      <c r="Q44" s="12">
        <f t="shared" si="13"/>
        <v>71.598532797167962</v>
      </c>
      <c r="R44" s="12">
        <f t="shared" si="14"/>
        <v>72.765625605077517</v>
      </c>
    </row>
    <row r="45" spans="1:18" x14ac:dyDescent="0.25">
      <c r="A45" s="26">
        <f>EDATE($A$14,31)</f>
        <v>46054</v>
      </c>
      <c r="B45" s="12">
        <f>INDEX('Historical WTI Data'!$B$15:$B$500,MATCH(A45,'Historical WTI Data'!$A$15:$A$500,0))</f>
        <v>64.510000000000005</v>
      </c>
      <c r="C45" s="12">
        <f>BasisAssumed - (ROW()-14)*0.02 + 0.3*SIN((ROW()-14)/3)</f>
        <v>-2.3565848846669675</v>
      </c>
      <c r="D45" s="12">
        <f t="shared" si="0"/>
        <v>62.15341511533304</v>
      </c>
      <c r="E45" s="14">
        <f t="shared" si="1"/>
        <v>50000</v>
      </c>
      <c r="F45" s="14">
        <f t="shared" si="2"/>
        <v>46000</v>
      </c>
      <c r="G45" s="31">
        <f t="shared" si="3"/>
        <v>0.85</v>
      </c>
      <c r="H45" s="14">
        <f t="shared" si="4"/>
        <v>42500</v>
      </c>
      <c r="I45" s="14">
        <f t="shared" si="5"/>
        <v>0</v>
      </c>
      <c r="J45" s="13">
        <f t="shared" si="6"/>
        <v>2859057.0953053199</v>
      </c>
      <c r="K45" s="13">
        <f t="shared" si="7"/>
        <v>2859057.0953053199</v>
      </c>
      <c r="L45" s="13">
        <f t="shared" si="8"/>
        <v>445824.99999999977</v>
      </c>
      <c r="M45" s="13">
        <f t="shared" si="9"/>
        <v>3304882.0953053199</v>
      </c>
      <c r="N45" s="13">
        <f t="shared" si="10"/>
        <v>57654.85759834612</v>
      </c>
      <c r="O45" s="13">
        <f t="shared" si="11"/>
        <v>3362536.9529036661</v>
      </c>
      <c r="P45" s="12">
        <f t="shared" si="12"/>
        <v>62.15341511533304</v>
      </c>
      <c r="Q45" s="12">
        <f t="shared" si="13"/>
        <v>71.845262941420003</v>
      </c>
      <c r="R45" s="12">
        <f t="shared" si="14"/>
        <v>73.098629410949258</v>
      </c>
    </row>
    <row r="46" spans="1:18" x14ac:dyDescent="0.25">
      <c r="A46" s="26">
        <f>EDATE($A$14,32)</f>
        <v>46082</v>
      </c>
      <c r="B46" s="12">
        <f>INDEX('Historical WTI Data'!$B$15:$B$500,MATCH(A46,'Historical WTI Data'!$A$15:$A$500,0))</f>
        <v>91.38</v>
      </c>
      <c r="C46" s="12">
        <f>BasisAssumed - (ROW()-14)*0.02 + 0.3*SIN((ROW()-14)/3)</f>
        <v>-2.4239187270514324</v>
      </c>
      <c r="D46" s="12">
        <f t="shared" si="0"/>
        <v>88.956081272948566</v>
      </c>
      <c r="E46" s="14">
        <f t="shared" si="1"/>
        <v>50000</v>
      </c>
      <c r="F46" s="14">
        <f t="shared" si="2"/>
        <v>46000</v>
      </c>
      <c r="G46" s="31">
        <f t="shared" si="3"/>
        <v>0.85</v>
      </c>
      <c r="H46" s="14">
        <f t="shared" si="4"/>
        <v>42500</v>
      </c>
      <c r="I46" s="14">
        <f t="shared" si="5"/>
        <v>0</v>
      </c>
      <c r="J46" s="13">
        <f t="shared" si="6"/>
        <v>4091979.7385556339</v>
      </c>
      <c r="K46" s="13">
        <f t="shared" si="7"/>
        <v>4091979.7385556339</v>
      </c>
      <c r="L46" s="13">
        <f t="shared" si="8"/>
        <v>-696149.99999999977</v>
      </c>
      <c r="M46" s="13">
        <f t="shared" si="9"/>
        <v>3395829.7385556344</v>
      </c>
      <c r="N46" s="13">
        <f t="shared" si="10"/>
        <v>60516.54589968588</v>
      </c>
      <c r="O46" s="13">
        <f t="shared" si="11"/>
        <v>3456346.2844553203</v>
      </c>
      <c r="P46" s="12">
        <f t="shared" si="12"/>
        <v>88.956081272948566</v>
      </c>
      <c r="Q46" s="12">
        <f t="shared" si="13"/>
        <v>73.822385620774668</v>
      </c>
      <c r="R46" s="12">
        <f t="shared" si="14"/>
        <v>75.137962705550436</v>
      </c>
    </row>
    <row r="47" spans="1:18" x14ac:dyDescent="0.25">
      <c r="A47" s="26">
        <f>EDATE($A$14,33)</f>
        <v>46113</v>
      </c>
      <c r="B47" s="12">
        <f>INDEX('Historical WTI Data'!$B$15:$B$500,MATCH(A47,'Historical WTI Data'!$A$15:$A$500,0))</f>
        <v>100.32</v>
      </c>
      <c r="C47" s="12">
        <f>BasisAssumed - (ROW()-14)*0.02 + 0.3*SIN((ROW()-14)/3)</f>
        <v>-2.4599970619652112</v>
      </c>
      <c r="D47" s="12">
        <f t="shared" si="0"/>
        <v>97.860002938034782</v>
      </c>
      <c r="E47" s="14">
        <f t="shared" si="1"/>
        <v>50000</v>
      </c>
      <c r="F47" s="14">
        <f t="shared" si="2"/>
        <v>46000</v>
      </c>
      <c r="G47" s="31">
        <f t="shared" si="3"/>
        <v>0.85</v>
      </c>
      <c r="H47" s="14">
        <f t="shared" si="4"/>
        <v>42500</v>
      </c>
      <c r="I47" s="14">
        <f t="shared" si="5"/>
        <v>0</v>
      </c>
      <c r="J47" s="13">
        <f t="shared" si="6"/>
        <v>4501560.1351496</v>
      </c>
      <c r="K47" s="13">
        <f t="shared" si="7"/>
        <v>4501560.1351496</v>
      </c>
      <c r="L47" s="13">
        <f t="shared" si="8"/>
        <v>-1076099.9999999998</v>
      </c>
      <c r="M47" s="13">
        <f t="shared" si="9"/>
        <v>3425460.1351496</v>
      </c>
      <c r="N47" s="13">
        <f t="shared" si="10"/>
        <v>62049.875133521477</v>
      </c>
      <c r="O47" s="13">
        <f t="shared" si="11"/>
        <v>3487510.0102831214</v>
      </c>
      <c r="P47" s="12">
        <f t="shared" si="12"/>
        <v>97.860002938034782</v>
      </c>
      <c r="Q47" s="12">
        <f t="shared" si="13"/>
        <v>74.466524677165211</v>
      </c>
      <c r="R47" s="12">
        <f t="shared" si="14"/>
        <v>75.815435006154814</v>
      </c>
    </row>
    <row r="48" spans="1:18" x14ac:dyDescent="0.25">
      <c r="A48" s="26">
        <f>EDATE($A$14,34)</f>
        <v>46143</v>
      </c>
      <c r="B48" s="12">
        <f>INDEX('Historical WTI Data'!$B$15:$B$500,MATCH(A48,'Historical WTI Data'!$A$15:$A$500,0))</f>
        <v>102.13</v>
      </c>
      <c r="C48" s="12">
        <f>BasisAssumed - (ROW()-14)*0.02 + 0.3*SIN((ROW()-14)/3)</f>
        <v>-2.4630498881046456</v>
      </c>
      <c r="D48" s="12">
        <f t="shared" si="0"/>
        <v>99.666950111895346</v>
      </c>
      <c r="E48" s="14">
        <f t="shared" si="1"/>
        <v>50000</v>
      </c>
      <c r="F48" s="14">
        <f t="shared" si="2"/>
        <v>46000</v>
      </c>
      <c r="G48" s="31">
        <f t="shared" si="3"/>
        <v>0.85</v>
      </c>
      <c r="H48" s="14">
        <f t="shared" si="4"/>
        <v>42500</v>
      </c>
      <c r="I48" s="14">
        <f t="shared" si="5"/>
        <v>0</v>
      </c>
      <c r="J48" s="13">
        <f t="shared" si="6"/>
        <v>4584679.7051471863</v>
      </c>
      <c r="K48" s="13">
        <f t="shared" si="7"/>
        <v>4584679.7051471863</v>
      </c>
      <c r="L48" s="13">
        <f t="shared" si="8"/>
        <v>-1153024.9999999998</v>
      </c>
      <c r="M48" s="13">
        <f t="shared" si="9"/>
        <v>3431654.7051471863</v>
      </c>
      <c r="N48" s="13">
        <f t="shared" si="10"/>
        <v>62179.62024444744</v>
      </c>
      <c r="O48" s="13">
        <f t="shared" si="11"/>
        <v>3493834.3253916339</v>
      </c>
      <c r="P48" s="12">
        <f t="shared" si="12"/>
        <v>99.66695011189536</v>
      </c>
      <c r="Q48" s="12">
        <f t="shared" si="13"/>
        <v>74.601189242330136</v>
      </c>
      <c r="R48" s="12">
        <f t="shared" si="14"/>
        <v>75.95292011720943</v>
      </c>
    </row>
    <row r="49" spans="1:18" x14ac:dyDescent="0.25">
      <c r="A49" s="26">
        <f>EDATE($A$14,35)</f>
        <v>46174</v>
      </c>
      <c r="B49" s="12">
        <f>INDEX('Historical WTI Data'!$B$15:$B$500,MATCH(A49,'Historical WTI Data'!$A$15:$A$500,0))</f>
        <v>84.81</v>
      </c>
      <c r="C49" s="12">
        <f>BasisAssumed - (ROW()-14)*0.02 + 0.3*SIN((ROW()-14)/3)</f>
        <v>-2.434942853870977</v>
      </c>
      <c r="D49" s="12">
        <f t="shared" si="0"/>
        <v>82.375057146129024</v>
      </c>
      <c r="E49" s="14">
        <f t="shared" si="1"/>
        <v>50000</v>
      </c>
      <c r="F49" s="14">
        <f t="shared" si="2"/>
        <v>46000</v>
      </c>
      <c r="G49" s="31">
        <f t="shared" si="3"/>
        <v>0.85</v>
      </c>
      <c r="H49" s="14">
        <f t="shared" si="4"/>
        <v>42500</v>
      </c>
      <c r="I49" s="14">
        <f t="shared" si="5"/>
        <v>0</v>
      </c>
      <c r="J49" s="13">
        <f t="shared" si="6"/>
        <v>3789252.6287219352</v>
      </c>
      <c r="K49" s="13">
        <f t="shared" si="7"/>
        <v>3789252.6287219352</v>
      </c>
      <c r="L49" s="13">
        <f t="shared" si="8"/>
        <v>-416925.00000000012</v>
      </c>
      <c r="M49" s="13">
        <f t="shared" si="9"/>
        <v>3372327.6287219352</v>
      </c>
      <c r="N49" s="13">
        <f t="shared" si="10"/>
        <v>60985.07128951652</v>
      </c>
      <c r="O49" s="13">
        <f t="shared" si="11"/>
        <v>3433312.7000114517</v>
      </c>
      <c r="P49" s="12">
        <f t="shared" si="12"/>
        <v>82.375057146129024</v>
      </c>
      <c r="Q49" s="12">
        <f t="shared" si="13"/>
        <v>73.311470189607292</v>
      </c>
      <c r="R49" s="12">
        <f t="shared" si="14"/>
        <v>74.637232608944601</v>
      </c>
    </row>
  </sheetData>
  <autoFilter ref="A13:R49" xr:uid="{00000000-0009-0000-0000-000003000000}"/>
  <mergeCells count="3">
    <mergeCell ref="A1:H1"/>
    <mergeCell ref="A2:H2"/>
    <mergeCell ref="A4:D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F36"/>
  <sheetViews>
    <sheetView showGridLines="0" topLeftCell="A19" zoomScaleNormal="100" workbookViewId="0">
      <selection activeCell="A33" sqref="A33:E33"/>
    </sheetView>
  </sheetViews>
  <sheetFormatPr defaultColWidth="8.7109375" defaultRowHeight="15" x14ac:dyDescent="0.25"/>
  <cols>
    <col min="1" max="1" width="34" customWidth="1"/>
    <col min="2" max="2" width="16" customWidth="1"/>
    <col min="3" max="5" width="22" customWidth="1"/>
    <col min="6" max="6" width="23.5703125" customWidth="1"/>
  </cols>
  <sheetData>
    <row r="1" spans="1:6" ht="20.25" x14ac:dyDescent="0.3">
      <c r="A1" s="8" t="s">
        <v>124</v>
      </c>
      <c r="B1" s="8"/>
      <c r="C1" s="8"/>
      <c r="D1" s="8"/>
      <c r="E1" s="8"/>
    </row>
    <row r="2" spans="1:6" x14ac:dyDescent="0.25">
      <c r="A2" s="7" t="s">
        <v>125</v>
      </c>
      <c r="B2" s="7"/>
      <c r="C2" s="7"/>
      <c r="D2" s="7"/>
      <c r="E2" s="7"/>
    </row>
    <row r="4" spans="1:6" ht="15.75" x14ac:dyDescent="0.25">
      <c r="A4" s="4" t="s">
        <v>126</v>
      </c>
      <c r="B4" s="4"/>
      <c r="C4" s="4"/>
      <c r="D4" s="4"/>
      <c r="E4" s="4"/>
    </row>
    <row r="5" spans="1:6" x14ac:dyDescent="0.25">
      <c r="A5" s="20" t="s">
        <v>127</v>
      </c>
      <c r="B5" s="28">
        <f>AVERAGE('Hedge Calculations'!B14:B49)</f>
        <v>74.70638888888891</v>
      </c>
    </row>
    <row r="6" spans="1:6" x14ac:dyDescent="0.25">
      <c r="A6" s="20" t="s">
        <v>128</v>
      </c>
      <c r="B6" s="28">
        <f>BasisAssumed</f>
        <v>-1.5</v>
      </c>
    </row>
    <row r="7" spans="1:6" x14ac:dyDescent="0.25">
      <c r="A7" s="20" t="s">
        <v>129</v>
      </c>
      <c r="B7" s="32">
        <f>ActualPct</f>
        <v>0.92</v>
      </c>
    </row>
    <row r="9" spans="1:6" ht="38.25" x14ac:dyDescent="0.25">
      <c r="A9" s="10" t="s">
        <v>99</v>
      </c>
      <c r="B9" s="10" t="s">
        <v>130</v>
      </c>
      <c r="C9" s="10" t="s">
        <v>131</v>
      </c>
      <c r="D9" s="10" t="s">
        <v>132</v>
      </c>
      <c r="E9" s="10" t="s">
        <v>133</v>
      </c>
      <c r="F9" s="34" t="s">
        <v>159</v>
      </c>
    </row>
    <row r="10" spans="1:6" x14ac:dyDescent="0.25">
      <c r="A10" s="20" t="s">
        <v>134</v>
      </c>
      <c r="B10" s="12">
        <f>$B$5</f>
        <v>74.70638888888891</v>
      </c>
      <c r="C10" s="12">
        <f>$B$5-15</f>
        <v>59.70638888888891</v>
      </c>
      <c r="D10" s="12">
        <f>$B$5</f>
        <v>74.70638888888891</v>
      </c>
      <c r="E10" s="12">
        <f>$B$5</f>
        <v>74.70638888888891</v>
      </c>
      <c r="F10" s="12">
        <f>$B$5</f>
        <v>74.70638888888891</v>
      </c>
    </row>
    <row r="11" spans="1:6" x14ac:dyDescent="0.25">
      <c r="A11" s="20" t="s">
        <v>135</v>
      </c>
      <c r="B11" s="12">
        <f>$B$6</f>
        <v>-1.5</v>
      </c>
      <c r="C11" s="12">
        <f>$B$6</f>
        <v>-1.5</v>
      </c>
      <c r="D11" s="12">
        <f>$B$6-5</f>
        <v>-6.5</v>
      </c>
      <c r="E11" s="12">
        <f>$B$6</f>
        <v>-1.5</v>
      </c>
      <c r="F11" s="12">
        <f>$B$6+0.75</f>
        <v>-0.75</v>
      </c>
    </row>
    <row r="12" spans="1:6" x14ac:dyDescent="0.25">
      <c r="A12" s="20" t="s">
        <v>41</v>
      </c>
      <c r="B12" s="31">
        <f>$B$7</f>
        <v>0.92</v>
      </c>
      <c r="C12" s="31">
        <f>$B$7</f>
        <v>0.92</v>
      </c>
      <c r="D12" s="31">
        <f>$B$7</f>
        <v>0.92</v>
      </c>
      <c r="E12" s="31">
        <v>0.8</v>
      </c>
      <c r="F12" s="31">
        <f>$B$7</f>
        <v>0.92</v>
      </c>
    </row>
    <row r="13" spans="1:6" x14ac:dyDescent="0.25">
      <c r="A13" s="20" t="s">
        <v>136</v>
      </c>
      <c r="B13" s="12">
        <f>B10+B11</f>
        <v>73.20638888888891</v>
      </c>
      <c r="C13" s="12">
        <f>C10+C11</f>
        <v>58.20638888888891</v>
      </c>
      <c r="D13" s="12">
        <f>D10+D11</f>
        <v>68.20638888888891</v>
      </c>
      <c r="E13" s="12">
        <f>E10+E11</f>
        <v>73.20638888888891</v>
      </c>
      <c r="F13" s="12">
        <f>F10+F11</f>
        <v>73.95638888888891</v>
      </c>
    </row>
    <row r="14" spans="1:6" x14ac:dyDescent="0.25">
      <c r="A14" s="20" t="s">
        <v>137</v>
      </c>
      <c r="B14" s="14">
        <f>ProdForecast*B12</f>
        <v>46000</v>
      </c>
      <c r="C14" s="14">
        <f>ProdForecast*C12</f>
        <v>46000</v>
      </c>
      <c r="D14" s="14">
        <f>ProdForecast*D12</f>
        <v>46000</v>
      </c>
      <c r="E14" s="14">
        <f>ProdForecast*E12</f>
        <v>40000</v>
      </c>
      <c r="F14" s="14">
        <f>ProdForecast*F12</f>
        <v>46000</v>
      </c>
    </row>
    <row r="15" spans="1:6" x14ac:dyDescent="0.25">
      <c r="A15" s="20" t="s">
        <v>138</v>
      </c>
      <c r="B15" s="14">
        <f>ProdForecast*HedgePct</f>
        <v>42500</v>
      </c>
      <c r="C15" s="14">
        <f>ProdForecast*HedgePct</f>
        <v>42500</v>
      </c>
      <c r="D15" s="14">
        <f>ProdForecast*HedgePct</f>
        <v>42500</v>
      </c>
      <c r="E15" s="14">
        <f>ProdForecast*HedgePct</f>
        <v>42500</v>
      </c>
      <c r="F15" s="14">
        <f>ProdForecast*HedgePct</f>
        <v>42500</v>
      </c>
    </row>
    <row r="16" spans="1:6" x14ac:dyDescent="0.25">
      <c r="A16" s="20" t="s">
        <v>139</v>
      </c>
      <c r="B16" s="14">
        <f>MAX(B15-B14,0)</f>
        <v>0</v>
      </c>
      <c r="C16" s="14">
        <f>MAX(C15-C14,0)</f>
        <v>0</v>
      </c>
      <c r="D16" s="14">
        <f>MAX(D15-D14,0)</f>
        <v>0</v>
      </c>
      <c r="E16" s="14">
        <f>MAX(E15-E14,0)</f>
        <v>2500</v>
      </c>
      <c r="F16" s="14">
        <f>MAX(F15-F14,0)</f>
        <v>0</v>
      </c>
    </row>
    <row r="17" spans="1:6" x14ac:dyDescent="0.25">
      <c r="A17" s="20" t="s">
        <v>140</v>
      </c>
      <c r="B17" s="13">
        <f>B14*B13</f>
        <v>3367493.8888888899</v>
      </c>
      <c r="C17" s="13">
        <f>C14*C13</f>
        <v>2677493.8888888899</v>
      </c>
      <c r="D17" s="13">
        <f>D14*D13</f>
        <v>3137493.8888888899</v>
      </c>
      <c r="E17" s="13">
        <f>E14*E13</f>
        <v>2928255.5555555564</v>
      </c>
      <c r="F17" s="13">
        <f>F14*F13</f>
        <v>3401993.8888888899</v>
      </c>
    </row>
    <row r="18" spans="1:6" x14ac:dyDescent="0.25">
      <c r="A18" s="20" t="s">
        <v>141</v>
      </c>
      <c r="B18" s="13">
        <f>B15*(SwapPrice-B10)</f>
        <v>12478.472222221342</v>
      </c>
      <c r="C18" s="13">
        <f>C15*(SwapPrice-C10)</f>
        <v>649978.47222222132</v>
      </c>
      <c r="D18" s="13">
        <f>D15*(SwapPrice-D10)</f>
        <v>12478.472222221342</v>
      </c>
      <c r="E18" s="13">
        <f>E15*(SwapPrice-E10)</f>
        <v>12478.472222221342</v>
      </c>
      <c r="F18" s="13">
        <f>F15*(SwapPrice-F10)</f>
        <v>12478.472222221342</v>
      </c>
    </row>
    <row r="19" spans="1:6" x14ac:dyDescent="0.25">
      <c r="A19" s="20" t="s">
        <v>142</v>
      </c>
      <c r="B19" s="13">
        <f>B15*(BasisLocked-B11)</f>
        <v>21250</v>
      </c>
      <c r="C19" s="13">
        <f>C15*(BasisLocked-C11)</f>
        <v>21250</v>
      </c>
      <c r="D19" s="13">
        <f>D15*(BasisLocked-D11)</f>
        <v>233750</v>
      </c>
      <c r="E19" s="13">
        <f>E15*(BasisLocked-E11)</f>
        <v>21250</v>
      </c>
      <c r="F19" s="13">
        <f>F15*(BasisLocked-F11)</f>
        <v>-10625</v>
      </c>
    </row>
    <row r="20" spans="1:6" x14ac:dyDescent="0.25">
      <c r="A20" s="20" t="s">
        <v>143</v>
      </c>
      <c r="B20" s="13">
        <f>B17</f>
        <v>3367493.8888888899</v>
      </c>
      <c r="C20" s="13">
        <f>C17</f>
        <v>2677493.8888888899</v>
      </c>
      <c r="D20" s="13">
        <f>D17</f>
        <v>3137493.8888888899</v>
      </c>
      <c r="E20" s="13">
        <f>E17</f>
        <v>2928255.5555555564</v>
      </c>
      <c r="F20" s="13">
        <f>F17</f>
        <v>3401993.8888888899</v>
      </c>
    </row>
    <row r="21" spans="1:6" x14ac:dyDescent="0.25">
      <c r="A21" s="20" t="s">
        <v>144</v>
      </c>
      <c r="B21" s="13">
        <f>B17+B18</f>
        <v>3379972.3611111115</v>
      </c>
      <c r="C21" s="13">
        <f>C17+C18</f>
        <v>3327472.361111111</v>
      </c>
      <c r="D21" s="13">
        <f>D17+D18</f>
        <v>3149972.3611111115</v>
      </c>
      <c r="E21" s="13">
        <f>E17+E18</f>
        <v>2940734.027777778</v>
      </c>
      <c r="F21" s="13">
        <f>F17+F18</f>
        <v>3414472.3611111115</v>
      </c>
    </row>
    <row r="22" spans="1:6" x14ac:dyDescent="0.25">
      <c r="A22" s="20" t="s">
        <v>145</v>
      </c>
      <c r="B22" s="13">
        <f>B17+B18+B19</f>
        <v>3401222.3611111115</v>
      </c>
      <c r="C22" s="13">
        <f>C17+C18+C19</f>
        <v>3348722.361111111</v>
      </c>
      <c r="D22" s="13">
        <f>D17+D18+D19</f>
        <v>3383722.3611111115</v>
      </c>
      <c r="E22" s="13">
        <f>E17+E18+E19</f>
        <v>2961984.027777778</v>
      </c>
      <c r="F22" s="13">
        <f>F17+F18+F19</f>
        <v>3403847.3611111115</v>
      </c>
    </row>
    <row r="23" spans="1:6" x14ac:dyDescent="0.25">
      <c r="A23" s="20" t="s">
        <v>146</v>
      </c>
      <c r="B23" s="12">
        <f>IF(B14=0,0,B20/B14)</f>
        <v>73.20638888888891</v>
      </c>
      <c r="C23" s="12">
        <f>IF(C14=0,0,C20/C14)</f>
        <v>58.20638888888891</v>
      </c>
      <c r="D23" s="12">
        <f>IF(D14=0,0,D20/D14)</f>
        <v>68.20638888888891</v>
      </c>
      <c r="E23" s="12">
        <f>IF(E14=0,0,E20/E14)</f>
        <v>73.20638888888891</v>
      </c>
      <c r="F23" s="12">
        <f>IF(F14=0,0,F20/F14)</f>
        <v>73.95638888888891</v>
      </c>
    </row>
    <row r="24" spans="1:6" x14ac:dyDescent="0.25">
      <c r="A24" s="20" t="s">
        <v>147</v>
      </c>
      <c r="B24" s="12">
        <f>IF(B14=0,0,B21/B14)</f>
        <v>73.477660024154602</v>
      </c>
      <c r="C24" s="12">
        <f>IF(C14=0,0,C21/C14)</f>
        <v>72.336355676328495</v>
      </c>
      <c r="D24" s="12">
        <f>IF(D14=0,0,D21/D14)</f>
        <v>68.477660024154602</v>
      </c>
      <c r="E24" s="12">
        <f>IF(E14=0,0,E21/E14)</f>
        <v>73.51835069444445</v>
      </c>
      <c r="F24" s="12">
        <f>IF(F14=0,0,F21/F14)</f>
        <v>74.227660024154602</v>
      </c>
    </row>
    <row r="25" spans="1:6" x14ac:dyDescent="0.25">
      <c r="A25" s="20" t="s">
        <v>148</v>
      </c>
      <c r="B25" s="12">
        <f>IF(B14=0,0,B22/B14)</f>
        <v>73.939616545893728</v>
      </c>
      <c r="C25" s="12">
        <f>IF(C14=0,0,C22/C14)</f>
        <v>72.798312198067634</v>
      </c>
      <c r="D25" s="12">
        <f>IF(D14=0,0,D22/D14)</f>
        <v>73.559181763285025</v>
      </c>
      <c r="E25" s="12">
        <f>IF(E14=0,0,E22/E14)</f>
        <v>74.04960069444445</v>
      </c>
      <c r="F25" s="12">
        <f>IF(F14=0,0,F22/F14)</f>
        <v>73.996681763285025</v>
      </c>
    </row>
    <row r="27" spans="1:6" ht="15.75" x14ac:dyDescent="0.25">
      <c r="A27" s="4" t="s">
        <v>149</v>
      </c>
      <c r="B27" s="4"/>
      <c r="C27" s="4"/>
      <c r="D27" s="4"/>
      <c r="E27" s="4"/>
    </row>
    <row r="28" spans="1:6" x14ac:dyDescent="0.25">
      <c r="A28" s="10" t="s">
        <v>99</v>
      </c>
      <c r="B28" s="33" t="s">
        <v>130</v>
      </c>
      <c r="C28" s="33" t="s">
        <v>150</v>
      </c>
      <c r="D28" s="33" t="s">
        <v>151</v>
      </c>
      <c r="E28" s="33" t="s">
        <v>152</v>
      </c>
      <c r="F28" s="33"/>
    </row>
    <row r="29" spans="1:6" x14ac:dyDescent="0.25">
      <c r="A29" s="20" t="s">
        <v>153</v>
      </c>
      <c r="B29" s="13">
        <f>B20-$B$20</f>
        <v>0</v>
      </c>
      <c r="C29" s="13">
        <f>C20-$B$20</f>
        <v>-690000</v>
      </c>
      <c r="D29" s="13">
        <f>D20-$B$20</f>
        <v>-230000</v>
      </c>
      <c r="E29" s="13">
        <f>E20-$B$20</f>
        <v>-439238.33333333349</v>
      </c>
      <c r="F29" s="13">
        <f>F20-$B$20</f>
        <v>34500</v>
      </c>
    </row>
    <row r="30" spans="1:6" x14ac:dyDescent="0.25">
      <c r="A30" s="20" t="s">
        <v>154</v>
      </c>
      <c r="B30" s="13">
        <f>B21-$B$21</f>
        <v>0</v>
      </c>
      <c r="C30" s="13">
        <f>C21-$B$21</f>
        <v>-52500.000000000466</v>
      </c>
      <c r="D30" s="13">
        <f>D21-$B$21</f>
        <v>-230000</v>
      </c>
      <c r="E30" s="13">
        <f>E21-$B$21</f>
        <v>-439238.33333333349</v>
      </c>
      <c r="F30" s="35">
        <f>F21-$B$21</f>
        <v>34500</v>
      </c>
    </row>
    <row r="31" spans="1:6" x14ac:dyDescent="0.25">
      <c r="A31" s="20" t="s">
        <v>155</v>
      </c>
      <c r="B31" s="13">
        <f>B22-$B$22</f>
        <v>0</v>
      </c>
      <c r="C31" s="13">
        <f>C22-$B$22</f>
        <v>-52500.000000000466</v>
      </c>
      <c r="D31" s="13">
        <f>D22-$B$22</f>
        <v>-17500</v>
      </c>
      <c r="E31" s="13">
        <f>E22-$B$22</f>
        <v>-439238.33333333349</v>
      </c>
      <c r="F31" s="13">
        <f>F22-$B$22</f>
        <v>2625</v>
      </c>
    </row>
    <row r="33" spans="1:5" ht="27.75" customHeight="1" x14ac:dyDescent="0.25">
      <c r="A33" s="36" t="s">
        <v>156</v>
      </c>
      <c r="B33" s="37"/>
      <c r="C33" s="37"/>
      <c r="D33" s="37"/>
      <c r="E33" s="37"/>
    </row>
    <row r="34" spans="1:5" ht="27.75" customHeight="1" x14ac:dyDescent="0.25">
      <c r="A34" s="37" t="s">
        <v>157</v>
      </c>
      <c r="B34" s="37"/>
      <c r="C34" s="37"/>
      <c r="D34" s="37"/>
      <c r="E34" s="37"/>
    </row>
    <row r="35" spans="1:5" ht="27.75" customHeight="1" x14ac:dyDescent="0.25">
      <c r="A35" s="37" t="s">
        <v>158</v>
      </c>
      <c r="B35" s="37"/>
      <c r="C35" s="37"/>
      <c r="D35" s="37"/>
      <c r="E35" s="37"/>
    </row>
    <row r="36" spans="1:5" ht="25.5" customHeight="1" x14ac:dyDescent="0.25">
      <c r="A36" s="36" t="s">
        <v>160</v>
      </c>
      <c r="B36" s="37"/>
      <c r="C36" s="37"/>
      <c r="D36" s="37"/>
      <c r="E36" s="37"/>
    </row>
  </sheetData>
  <mergeCells count="8">
    <mergeCell ref="A34:E34"/>
    <mergeCell ref="A35:E35"/>
    <mergeCell ref="A36:E36"/>
    <mergeCell ref="A1:E1"/>
    <mergeCell ref="A2:E2"/>
    <mergeCell ref="A4:E4"/>
    <mergeCell ref="A27:E27"/>
    <mergeCell ref="A33:E3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Executive Summary</vt:lpstr>
      <vt:lpstr>Inputs &amp; Assumptions</vt:lpstr>
      <vt:lpstr>Historical WTI Data</vt:lpstr>
      <vt:lpstr>Hedge Calculations</vt:lpstr>
      <vt:lpstr>Stress Scenarios</vt:lpstr>
      <vt:lpstr>ActualPct</vt:lpstr>
      <vt:lpstr>AnalysisEnd</vt:lpstr>
      <vt:lpstr>AnalysisStart</vt:lpstr>
      <vt:lpstr>BasisAssumed</vt:lpstr>
      <vt:lpstr>BasisLocked</vt:lpstr>
      <vt:lpstr>HedgePct</vt:lpstr>
      <vt:lpstr>ProdForecast</vt:lpstr>
      <vt:lpstr>SwapPrice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Garrison Cockrell</cp:lastModifiedBy>
  <cp:revision>1</cp:revision>
  <dcterms:created xsi:type="dcterms:W3CDTF">2026-07-15T02:14:03Z</dcterms:created>
  <dcterms:modified xsi:type="dcterms:W3CDTF">2026-07-23T04:51:10Z</dcterms:modified>
  <dc:language>en-US</dc:language>
</cp:coreProperties>
</file>