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3"/>
    <sheet name="Inputs &amp; Assumptions" sheetId="2" state="visible" r:id="rId4"/>
    <sheet name="Historical WTI Data" sheetId="3" state="visible" r:id="rId5"/>
    <sheet name="Hedge Calculations" sheetId="4" state="visible" r:id="rId6"/>
    <sheet name="Stress Scenarios" sheetId="5" state="visible" r:id="rId7"/>
  </sheets>
  <definedNames>
    <definedName function="false" hidden="true" localSheetId="3" name="_xlnm._FilterDatabase" vbProcedure="false">'Hedge Calculations'!$A$13:$R$49</definedName>
    <definedName function="false" hidden="true" localSheetId="2" name="_xlnm._FilterDatabase" vbProcedure="false">'Historical WTI Data'!$A$14:$D$500</definedName>
    <definedName function="false" hidden="false" name="ActualPct" vbProcedure="false">'Inputs &amp; Assumptions'!$B$7</definedName>
    <definedName function="false" hidden="false" name="AnalysisEnd" vbProcedure="false">'Inputs &amp; Assumptions'!$B$13</definedName>
    <definedName function="false" hidden="false" name="AnalysisStart" vbProcedure="false">'Inputs &amp; Assumptions'!$B$12</definedName>
    <definedName function="false" hidden="false" name="BasisAssumed" vbProcedure="false">'Inputs &amp; Assumptions'!$B$10</definedName>
    <definedName function="false" hidden="false" name="BasisLocked" vbProcedure="false">'Inputs &amp; Assumptions'!$B$11</definedName>
    <definedName function="false" hidden="false" name="HedgePct" vbProcedure="false">'Inputs &amp; Assumptions'!$B$8</definedName>
    <definedName function="false" hidden="false" name="ProdForecast" vbProcedure="false">'Inputs &amp; Assumptions'!$B$6</definedName>
    <definedName function="false" hidden="false" name="SwapPrice" vbProcedure="false">'Inputs &amp; Assumptions'!$B$9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Model</author>
  </authors>
  <commentList>
    <comment ref="B8" authorId="0">
      <text>
        <r>
          <rPr>
            <sz val="10"/>
            <rFont val="Arial"/>
            <family val="2"/>
          </rPr>
          <t xml:space="preserve">Hedging less than 100% of forecast production leaves some volume unhedged and reduces the risk of over-hedging if production falls short.</t>
        </r>
      </text>
    </comment>
    <comment ref="B10" authorId="0">
      <text>
        <r>
          <rPr>
            <sz val="10"/>
            <rFont val="Arial"/>
            <family val="2"/>
          </rPr>
          <t xml:space="preserve">Midland-Cushing basis is a model assumption, not a market quote. A more-negative basis means Midland crude sells below Cushing WTI.</t>
        </r>
      </text>
    </comment>
  </commentList>
</comments>
</file>

<file path=xl/sharedStrings.xml><?xml version="1.0" encoding="utf-8"?>
<sst xmlns="http://schemas.openxmlformats.org/spreadsheetml/2006/main" count="668" uniqueCount="159">
  <si>
    <t xml:space="preserve">Permian Crude Producer Hedge &amp; Basis Risk Model</t>
  </si>
  <si>
    <t xml:space="preserve">Educational / student research project. Simplified hedge comparison for a hypothetical Permian Basin crude producer -- not financial advice.</t>
  </si>
  <si>
    <t xml:space="preserve">Purpose:</t>
  </si>
  <si>
    <t xml:space="preserve">Show how WTI benchmark price risk, Midland-Cushing basis risk, and production volume uncertainty affect a Permian producer's revenue, and how basic hedge strategies change that exposure.</t>
  </si>
  <si>
    <t xml:space="preserve">Core question:</t>
  </si>
  <si>
    <t xml:space="preserve">How do WTI prices, Midland basis, and production uncertainty affect a Permian producer's revenue, and how do basic hedge strategies change that exposure?</t>
  </si>
  <si>
    <t xml:space="preserve">Disclosure:</t>
  </si>
  <si>
    <t xml:space="preserve">The producer, production volumes, hedge percentages, swap price, and basis levels used here are entirely hypothetical and illustrative. Only the WTI Cushing spot price history is real, public EIA data.</t>
  </si>
  <si>
    <t xml:space="preserve">Strategy Comparison</t>
  </si>
  <si>
    <t xml:space="preserve">Strategy</t>
  </si>
  <si>
    <t xml:space="preserve">Avg. Net Realized Price ($/bbl)</t>
  </si>
  <si>
    <t xml:space="preserve">Avg. Monthly Net Revenue ($)</t>
  </si>
  <si>
    <t xml:space="preserve">Worst Monthly Net Revenue ($)</t>
  </si>
  <si>
    <t xml:space="preserve">Total Hedge P&amp;L ($)</t>
  </si>
  <si>
    <t xml:space="preserve">Revenue Range ($)</t>
  </si>
  <si>
    <t xml:space="preserve">Over-Hedged Volume (bbl)</t>
  </si>
  <si>
    <t xml:space="preserve">Unhedged</t>
  </si>
  <si>
    <t xml:space="preserve">WTI Fixed-Price Swap</t>
  </si>
  <si>
    <t xml:space="preserve">WTI Swap + Midland Basis Hedge</t>
  </si>
  <si>
    <t xml:space="preserve">Key Findings</t>
  </si>
  <si>
    <t xml:space="preserve">- The WTI fixed-price swap tracks the benchmark closely, cutting the swing in net realized price that comes from WTI moving up or down.</t>
  </si>
  <si>
    <t xml:space="preserve">- Midland basis risk is not addressed by the WTI swap alone; only the combined strategy responds when the Midland discount widens or narrows.</t>
  </si>
  <si>
    <t xml:space="preserve">- Because the hedge is sized to forecast production, a production shortfall can leave part of the hedge unmatched by physical barrels (over-hedged volume).</t>
  </si>
  <si>
    <t xml:space="preserve">Main Remaining Risk by Strategy</t>
  </si>
  <si>
    <t xml:space="preserve">Main Remaining Risk</t>
  </si>
  <si>
    <t xml:space="preserve">Full exposure to both WTI price moves and Midland basis moves.</t>
  </si>
  <si>
    <t xml:space="preserve">Midland basis risk remains; a wider discount still lowers realized price.</t>
  </si>
  <si>
    <t xml:space="preserve">WTI Swap + Basis Hedge</t>
  </si>
  <si>
    <t xml:space="preserve">Production-volume risk remains; a shortfall can create over-hedged volume.</t>
  </si>
  <si>
    <t xml:space="preserve">Conclusion</t>
  </si>
  <si>
    <t xml:space="preserve">Under the selected assumptions, the WTI swap reduces benchmark-price exposure, while the combined swap and basis hedge creates greater revenue stability. Production uncertainty remains important because hedging forecast volumes can create over-hedging. This is an educational, illustrative comparison, not a professional recommendation or an optimal hedge.</t>
  </si>
  <si>
    <t xml:space="preserve">Inputs &amp; Assumptions</t>
  </si>
  <si>
    <t xml:space="preserve">Hypothetical Permian Basin producer. All figures below are illustrative model assumptions, not current market quotes or a real hedge program.</t>
  </si>
  <si>
    <t xml:space="preserve">Illustrative Assumptions (edit the highlighted cells)</t>
  </si>
  <si>
    <t xml:space="preserve">Assumption</t>
  </si>
  <si>
    <t xml:space="preserve">Value</t>
  </si>
  <si>
    <t xml:space="preserve">Units</t>
  </si>
  <si>
    <t xml:space="preserve">Notes</t>
  </si>
  <si>
    <t xml:space="preserve">Monthly forecast production</t>
  </si>
  <si>
    <t xml:space="preserve">bbl/mo</t>
  </si>
  <si>
    <t xml:space="preserve">Planned monthly production for the hypothetical producer.</t>
  </si>
  <si>
    <t xml:space="preserve">Actual production (% of forecast)</t>
  </si>
  <si>
    <t xml:space="preserve">%</t>
  </si>
  <si>
    <t xml:space="preserve">Illustrative production variance vs. forecast.</t>
  </si>
  <si>
    <t xml:space="preserve">Hedge percentage</t>
  </si>
  <si>
    <t xml:space="preserve">Share of forecast production hedged with the WTI swap.</t>
  </si>
  <si>
    <t xml:space="preserve">Fixed WTI swap price</t>
  </si>
  <si>
    <t xml:space="preserve">$/bbl</t>
  </si>
  <si>
    <t xml:space="preserve">Illustrative fixed price on the WTI swap.</t>
  </si>
  <si>
    <t xml:space="preserve">Assumed Midland-Cushing basis</t>
  </si>
  <si>
    <t xml:space="preserve">Illustrative differential; not a live market quote.</t>
  </si>
  <si>
    <t xml:space="preserve">Locked Midland-Cushing basis level</t>
  </si>
  <si>
    <t xml:space="preserve">Basis level locked in by the basis hedge.</t>
  </si>
  <si>
    <t xml:space="preserve">Analysis start date</t>
  </si>
  <si>
    <t xml:space="preserve">date</t>
  </si>
  <si>
    <t xml:space="preserve">First month of the hedge comparison.</t>
  </si>
  <si>
    <t xml:space="preserve">Analysis end date</t>
  </si>
  <si>
    <t xml:space="preserve">Last month of the hedge comparison.</t>
  </si>
  <si>
    <t xml:space="preserve">Observed Data</t>
  </si>
  <si>
    <t xml:space="preserve">Item</t>
  </si>
  <si>
    <t xml:space="preserve">Historical WTI Cushing price</t>
  </si>
  <si>
    <t xml:space="preserve">See 'Historical WTI Data' tab</t>
  </si>
  <si>
    <t xml:space="preserve">Real monthly-average data published by the EIA.</t>
  </si>
  <si>
    <t xml:space="preserve">Calculated Outputs (see 'Hedge Calculations' tab)</t>
  </si>
  <si>
    <t xml:space="preserve">Output</t>
  </si>
  <si>
    <t xml:space="preserve">Avg. net realized price, combined strategy</t>
  </si>
  <si>
    <t xml:space="preserve">Average across the analysis window.</t>
  </si>
  <si>
    <t xml:space="preserve">Total hedge P&amp;L, combined strategy</t>
  </si>
  <si>
    <t xml:space="preserve">$</t>
  </si>
  <si>
    <t xml:space="preserve">WTI swap P&amp;L plus basis hedge P&amp;L, summed.</t>
  </si>
  <si>
    <t xml:space="preserve">Total over-hedged volume</t>
  </si>
  <si>
    <t xml:space="preserve">bbl</t>
  </si>
  <si>
    <t xml:space="preserve">Hedged volume exceeding actual production, summed.</t>
  </si>
  <si>
    <t xml:space="preserve">Historical WTI Data</t>
  </si>
  <si>
    <t xml:space="preserve">Source data used to drive the hedge model below.</t>
  </si>
  <si>
    <t xml:space="preserve">Series name:</t>
  </si>
  <si>
    <t xml:space="preserve">Cushing, OK WTI Spot Price FOB (RWTC)</t>
  </si>
  <si>
    <t xml:space="preserve">Source:</t>
  </si>
  <si>
    <t xml:space="preserve">U.S. Energy Information Administration (EIA)</t>
  </si>
  <si>
    <t xml:space="preserve">Units:</t>
  </si>
  <si>
    <t xml:space="preserve">Dollars per barrel ($/bbl)</t>
  </si>
  <si>
    <t xml:space="preserve">Original frequency:</t>
  </si>
  <si>
    <t xml:space="preserve">Daily (aggregated by EIA to a monthly average)</t>
  </si>
  <si>
    <t xml:space="preserve">Aggregation method:</t>
  </si>
  <si>
    <t xml:space="preserve">EIA daily spot prices aggregated to a simple monthly average.</t>
  </si>
  <si>
    <t xml:space="preserve">Frequency used in workbook:</t>
  </si>
  <si>
    <t xml:space="preserve">Monthly average</t>
  </si>
  <si>
    <t xml:space="preserve">Date range:</t>
  </si>
  <si>
    <t xml:space="preserve">January 1986 - June 2026</t>
  </si>
  <si>
    <t xml:space="preserve">Retrieval date:</t>
  </si>
  <si>
    <t xml:space="preserve">2026-07-14</t>
  </si>
  <si>
    <t xml:space="preserve">Source citation:</t>
  </si>
  <si>
    <t xml:space="preserve">U.S. Energy Information Administration (EIA) - https://www.eia.gov/dnav/pet/hist/RWTCM.htm</t>
  </si>
  <si>
    <t xml:space="preserve">Month</t>
  </si>
  <si>
    <t xml:space="preserve">WTI Cushing Price ($/bbl)</t>
  </si>
  <si>
    <t xml:space="preserve">Source</t>
  </si>
  <si>
    <t xml:space="preserve">Hedge Calculations</t>
  </si>
  <si>
    <t xml:space="preserve">Monthly, formula-driven comparison of the three strategies over the analysis window.</t>
  </si>
  <si>
    <t xml:space="preserve">Summary Metrics</t>
  </si>
  <si>
    <t xml:space="preserve">Metric</t>
  </si>
  <si>
    <t xml:space="preserve">WTI Swap</t>
  </si>
  <si>
    <t xml:space="preserve">Combined (Swap + Basis Hedge)</t>
  </si>
  <si>
    <t xml:space="preserve">Average net realized price ($/bbl)</t>
  </si>
  <si>
    <t xml:space="preserve">Average monthly net revenue ($)</t>
  </si>
  <si>
    <t xml:space="preserve">Minimum monthly net revenue ($)</t>
  </si>
  <si>
    <t xml:space="preserve">Maximum monthly net revenue ($)</t>
  </si>
  <si>
    <t xml:space="preserve">Total hedge P&amp;L ($)</t>
  </si>
  <si>
    <t xml:space="preserve">Total over-hedged volume (bbl)</t>
  </si>
  <si>
    <t xml:space="preserve">Date</t>
  </si>
  <si>
    <t xml:space="preserve">Assumed Midland Basis ($/bbl)</t>
  </si>
  <si>
    <t xml:space="preserve">Midland Physical Price ($/bbl)</t>
  </si>
  <si>
    <t xml:space="preserve">Forecast Production (bbl)</t>
  </si>
  <si>
    <t xml:space="preserve">Actual Production (bbl)</t>
  </si>
  <si>
    <t xml:space="preserve">Hedge %</t>
  </si>
  <si>
    <t xml:space="preserve">Hedged Volume (bbl)</t>
  </si>
  <si>
    <t xml:space="preserve">Physical Revenue ($)</t>
  </si>
  <si>
    <t xml:space="preserve">Unhedged Net Revenue ($)</t>
  </si>
  <si>
    <t xml:space="preserve">WTI Swap P&amp;L ($)</t>
  </si>
  <si>
    <t xml:space="preserve">WTI Swap Net Revenue ($)</t>
  </si>
  <si>
    <t xml:space="preserve">Basis Hedge P&amp;L ($)</t>
  </si>
  <si>
    <t xml:space="preserve">Combined Net Revenue ($)</t>
  </si>
  <si>
    <t xml:space="preserve">Unhedged Net Realized Price ($/bbl)</t>
  </si>
  <si>
    <t xml:space="preserve">WTI Swap Net Realized Price ($/bbl)</t>
  </si>
  <si>
    <t xml:space="preserve">Combined Net Realized Price ($/bbl)</t>
  </si>
  <si>
    <t xml:space="preserve">Stress Scenarios</t>
  </si>
  <si>
    <t xml:space="preserve">Each scenario applies a single shock to the base-case assumptions. The base case uses the average WTI price actually observed over the analysis window.</t>
  </si>
  <si>
    <t xml:space="preserve">Base Case Reference Values</t>
  </si>
  <si>
    <t xml:space="preserve">Base WTI Cushing price ($/bbl)</t>
  </si>
  <si>
    <t xml:space="preserve">Base Midland basis ($/bbl)</t>
  </si>
  <si>
    <t xml:space="preserve">Base actual production (% of forecast)</t>
  </si>
  <si>
    <t xml:space="preserve">Base Case</t>
  </si>
  <si>
    <t xml:space="preserve">A: WTI Price Decline (-$15/bbl)</t>
  </si>
  <si>
    <t xml:space="preserve">B: Midland Basis Weakening (-$5/bbl)</t>
  </si>
  <si>
    <t xml:space="preserve">C: Production Shortfall (80% of Forecast)</t>
  </si>
  <si>
    <t xml:space="preserve">WTI Cushing price ($/bbl)</t>
  </si>
  <si>
    <t xml:space="preserve">Midland basis ($/bbl)</t>
  </si>
  <si>
    <t xml:space="preserve">Midland physical price ($/bbl)</t>
  </si>
  <si>
    <t xml:space="preserve">Actual production (bbl)</t>
  </si>
  <si>
    <t xml:space="preserve">Hedged volume (bbl)</t>
  </si>
  <si>
    <t xml:space="preserve">Over-hedged volume (bbl)</t>
  </si>
  <si>
    <t xml:space="preserve">Physical revenue ($)</t>
  </si>
  <si>
    <t xml:space="preserve">WTI swap P&amp;L ($)</t>
  </si>
  <si>
    <t xml:space="preserve">Basis hedge P&amp;L ($)</t>
  </si>
  <si>
    <t xml:space="preserve">Unhedged net revenue ($)</t>
  </si>
  <si>
    <t xml:space="preserve">WTI swap net revenue ($)</t>
  </si>
  <si>
    <t xml:space="preserve">Combined net revenue ($)</t>
  </si>
  <si>
    <t xml:space="preserve">Unhedged net realized price ($/bbl)</t>
  </si>
  <si>
    <t xml:space="preserve">WTI swap net realized price ($/bbl)</t>
  </si>
  <si>
    <t xml:space="preserve">Combined net realized price ($/bbl)</t>
  </si>
  <si>
    <t xml:space="preserve">Change from Base Case ($)</t>
  </si>
  <si>
    <t xml:space="preserve">A: WTI Decline</t>
  </si>
  <si>
    <t xml:space="preserve">B: Basis Weakening</t>
  </si>
  <si>
    <t xml:space="preserve">C: Production Shortfall</t>
  </si>
  <si>
    <t xml:space="preserve">Change in unhedged net revenue</t>
  </si>
  <si>
    <t xml:space="preserve">Change in WTI swap net revenue</t>
  </si>
  <si>
    <t xml:space="preserve">Change in combined net revenue</t>
  </si>
  <si>
    <t xml:space="preserve">Scenario A (WTI decline): the WTI swap gains on hedged volume as WTI falls, offsetting most of the benchmark-price loss on the hedged share of production.</t>
  </si>
  <si>
    <t xml:space="preserve">Scenario B (basis weakening): the WTI swap alone does not respond to basis, so unhedged and WTI-swap revenue both fall by the same amount. Only the combined strategy's basis hedge offsets the widening discount.</t>
  </si>
  <si>
    <t xml:space="preserve">Scenario C (production shortfall): hedged volume is fixed to forecast production, so when actual production falls short, part of the hedge is no longer backed by physical barrels (over-hedged volume), which can amplify swings in net realized price.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</si>
</sst>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\$#,##0;&quot;($&quot;#,##0\)"/>
    <numFmt numFmtId="167" formatCode="#,##0"/>
    <numFmt numFmtId="168" formatCode="0.0%"/>
    <numFmt numFmtId="169" formatCode="mmm\-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BFBFBF"/>
      <rgbColor rgb="FF7F7F7F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Monthly Net Realized Price by Strategy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'Hedge Calculations'!P13</c:f>
              <c:strCache>
                <c:ptCount val="1"/>
                <c:pt idx="0">
                  <c:v>Unhedged Net Realized Price ($/bbl)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'Hedge Calculations'!$A$14:$A$49</c:f>
              <c:strCache>
                <c:ptCount val="36"/>
                <c:pt idx="0">
                  <c:v>Jul-2023</c:v>
                </c:pt>
                <c:pt idx="1">
                  <c:v>Aug-2023</c:v>
                </c:pt>
                <c:pt idx="2">
                  <c:v>Sep-2023</c:v>
                </c:pt>
                <c:pt idx="3">
                  <c:v>Oct-2023</c:v>
                </c:pt>
                <c:pt idx="4">
                  <c:v>Nov-2023</c:v>
                </c:pt>
                <c:pt idx="5">
                  <c:v>Dec-2023</c:v>
                </c:pt>
                <c:pt idx="6">
                  <c:v>Jan-2024</c:v>
                </c:pt>
                <c:pt idx="7">
                  <c:v>Feb-2024</c:v>
                </c:pt>
                <c:pt idx="8">
                  <c:v>Mar-2024</c:v>
                </c:pt>
                <c:pt idx="9">
                  <c:v>Apr-2024</c:v>
                </c:pt>
                <c:pt idx="10">
                  <c:v>May-2024</c:v>
                </c:pt>
                <c:pt idx="11">
                  <c:v>Jun-2024</c:v>
                </c:pt>
                <c:pt idx="12">
                  <c:v>Jul-2024</c:v>
                </c:pt>
                <c:pt idx="13">
                  <c:v>Aug-2024</c:v>
                </c:pt>
                <c:pt idx="14">
                  <c:v>Sep-2024</c:v>
                </c:pt>
                <c:pt idx="15">
                  <c:v>Oct-2024</c:v>
                </c:pt>
                <c:pt idx="16">
                  <c:v>Nov-2024</c:v>
                </c:pt>
                <c:pt idx="17">
                  <c:v>Dec-2024</c:v>
                </c:pt>
                <c:pt idx="18">
                  <c:v>Jan-2025</c:v>
                </c:pt>
                <c:pt idx="19">
                  <c:v>Feb-2025</c:v>
                </c:pt>
                <c:pt idx="20">
                  <c:v>Mar-2025</c:v>
                </c:pt>
                <c:pt idx="21">
                  <c:v>Apr-2025</c:v>
                </c:pt>
                <c:pt idx="22">
                  <c:v>May-2025</c:v>
                </c:pt>
                <c:pt idx="23">
                  <c:v>Jun-2025</c:v>
                </c:pt>
                <c:pt idx="24">
                  <c:v>Jul-2025</c:v>
                </c:pt>
                <c:pt idx="25">
                  <c:v>Aug-2025</c:v>
                </c:pt>
                <c:pt idx="26">
                  <c:v>Sep-2025</c:v>
                </c:pt>
                <c:pt idx="27">
                  <c:v>Oct-2025</c:v>
                </c:pt>
                <c:pt idx="28">
                  <c:v>Nov-2025</c:v>
                </c:pt>
                <c:pt idx="29">
                  <c:v>Dec-2025</c:v>
                </c:pt>
                <c:pt idx="30">
                  <c:v>Jan-2026</c:v>
                </c:pt>
                <c:pt idx="31">
                  <c:v>Feb-2026</c:v>
                </c:pt>
                <c:pt idx="32">
                  <c:v>Mar-2026</c:v>
                </c:pt>
                <c:pt idx="33">
                  <c:v>Apr-2026</c:v>
                </c:pt>
                <c:pt idx="34">
                  <c:v>May-2026</c:v>
                </c:pt>
                <c:pt idx="35">
                  <c:v>Jun-2026</c:v>
                </c:pt>
              </c:strCache>
            </c:strRef>
          </c:cat>
          <c:val>
            <c:numRef>
              <c:f>'Hedge Calculations'!$P$14:$P$49</c:f>
              <c:numCache>
                <c:formatCode>\$#,##0.00</c:formatCode>
                <c:ptCount val="36"/>
                <c:pt idx="0">
                  <c:v>74.57</c:v>
                </c:pt>
                <c:pt idx="1">
                  <c:v>79.89</c:v>
                </c:pt>
                <c:pt idx="2">
                  <c:v>87.93</c:v>
                </c:pt>
                <c:pt idx="3">
                  <c:v>84.14</c:v>
                </c:pt>
                <c:pt idx="4">
                  <c:v>76.19</c:v>
                </c:pt>
                <c:pt idx="5">
                  <c:v>70.4</c:v>
                </c:pt>
                <c:pt idx="6">
                  <c:v>72.65</c:v>
                </c:pt>
                <c:pt idx="7">
                  <c:v>75.75</c:v>
                </c:pt>
                <c:pt idx="8">
                  <c:v>79.78</c:v>
                </c:pt>
                <c:pt idx="9">
                  <c:v>83.85</c:v>
                </c:pt>
                <c:pt idx="10">
                  <c:v>78.52</c:v>
                </c:pt>
                <c:pt idx="11">
                  <c:v>78.27</c:v>
                </c:pt>
                <c:pt idx="12">
                  <c:v>80.3</c:v>
                </c:pt>
                <c:pt idx="13">
                  <c:v>75.18</c:v>
                </c:pt>
                <c:pt idx="14">
                  <c:v>68.74</c:v>
                </c:pt>
                <c:pt idx="15">
                  <c:v>70.49</c:v>
                </c:pt>
                <c:pt idx="16">
                  <c:v>68.45</c:v>
                </c:pt>
                <c:pt idx="17">
                  <c:v>68.62</c:v>
                </c:pt>
                <c:pt idx="18">
                  <c:v>74.24</c:v>
                </c:pt>
                <c:pt idx="19">
                  <c:v>70.03</c:v>
                </c:pt>
                <c:pt idx="20">
                  <c:v>66.74</c:v>
                </c:pt>
                <c:pt idx="21">
                  <c:v>62.04</c:v>
                </c:pt>
                <c:pt idx="22">
                  <c:v>60.67</c:v>
                </c:pt>
                <c:pt idx="23">
                  <c:v>66.67</c:v>
                </c:pt>
                <c:pt idx="24">
                  <c:v>66.89</c:v>
                </c:pt>
                <c:pt idx="25">
                  <c:v>63.36</c:v>
                </c:pt>
                <c:pt idx="26">
                  <c:v>62.46</c:v>
                </c:pt>
                <c:pt idx="27">
                  <c:v>59.39</c:v>
                </c:pt>
                <c:pt idx="28">
                  <c:v>58.56</c:v>
                </c:pt>
                <c:pt idx="29">
                  <c:v>56.47</c:v>
                </c:pt>
                <c:pt idx="30">
                  <c:v>58.54</c:v>
                </c:pt>
                <c:pt idx="31">
                  <c:v>63.01</c:v>
                </c:pt>
                <c:pt idx="32">
                  <c:v>89.88</c:v>
                </c:pt>
                <c:pt idx="33">
                  <c:v>98.82</c:v>
                </c:pt>
                <c:pt idx="34">
                  <c:v>100.63</c:v>
                </c:pt>
                <c:pt idx="35">
                  <c:v>83.31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'Hedge Calculations'!Q13</c:f>
              <c:strCache>
                <c:ptCount val="1"/>
                <c:pt idx="0">
                  <c:v>WTI Swap Net Realized Price ($/bbl)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'Hedge Calculations'!$A$14:$A$49</c:f>
              <c:strCache>
                <c:ptCount val="36"/>
                <c:pt idx="0">
                  <c:v>Jul-2023</c:v>
                </c:pt>
                <c:pt idx="1">
                  <c:v>Aug-2023</c:v>
                </c:pt>
                <c:pt idx="2">
                  <c:v>Sep-2023</c:v>
                </c:pt>
                <c:pt idx="3">
                  <c:v>Oct-2023</c:v>
                </c:pt>
                <c:pt idx="4">
                  <c:v>Nov-2023</c:v>
                </c:pt>
                <c:pt idx="5">
                  <c:v>Dec-2023</c:v>
                </c:pt>
                <c:pt idx="6">
                  <c:v>Jan-2024</c:v>
                </c:pt>
                <c:pt idx="7">
                  <c:v>Feb-2024</c:v>
                </c:pt>
                <c:pt idx="8">
                  <c:v>Mar-2024</c:v>
                </c:pt>
                <c:pt idx="9">
                  <c:v>Apr-2024</c:v>
                </c:pt>
                <c:pt idx="10">
                  <c:v>May-2024</c:v>
                </c:pt>
                <c:pt idx="11">
                  <c:v>Jun-2024</c:v>
                </c:pt>
                <c:pt idx="12">
                  <c:v>Jul-2024</c:v>
                </c:pt>
                <c:pt idx="13">
                  <c:v>Aug-2024</c:v>
                </c:pt>
                <c:pt idx="14">
                  <c:v>Sep-2024</c:v>
                </c:pt>
                <c:pt idx="15">
                  <c:v>Oct-2024</c:v>
                </c:pt>
                <c:pt idx="16">
                  <c:v>Nov-2024</c:v>
                </c:pt>
                <c:pt idx="17">
                  <c:v>Dec-2024</c:v>
                </c:pt>
                <c:pt idx="18">
                  <c:v>Jan-2025</c:v>
                </c:pt>
                <c:pt idx="19">
                  <c:v>Feb-2025</c:v>
                </c:pt>
                <c:pt idx="20">
                  <c:v>Mar-2025</c:v>
                </c:pt>
                <c:pt idx="21">
                  <c:v>Apr-2025</c:v>
                </c:pt>
                <c:pt idx="22">
                  <c:v>May-2025</c:v>
                </c:pt>
                <c:pt idx="23">
                  <c:v>Jun-2025</c:v>
                </c:pt>
                <c:pt idx="24">
                  <c:v>Jul-2025</c:v>
                </c:pt>
                <c:pt idx="25">
                  <c:v>Aug-2025</c:v>
                </c:pt>
                <c:pt idx="26">
                  <c:v>Sep-2025</c:v>
                </c:pt>
                <c:pt idx="27">
                  <c:v>Oct-2025</c:v>
                </c:pt>
                <c:pt idx="28">
                  <c:v>Nov-2025</c:v>
                </c:pt>
                <c:pt idx="29">
                  <c:v>Dec-2025</c:v>
                </c:pt>
                <c:pt idx="30">
                  <c:v>Jan-2026</c:v>
                </c:pt>
                <c:pt idx="31">
                  <c:v>Feb-2026</c:v>
                </c:pt>
                <c:pt idx="32">
                  <c:v>Mar-2026</c:v>
                </c:pt>
                <c:pt idx="33">
                  <c:v>Apr-2026</c:v>
                </c:pt>
                <c:pt idx="34">
                  <c:v>May-2026</c:v>
                </c:pt>
                <c:pt idx="35">
                  <c:v>Jun-2026</c:v>
                </c:pt>
              </c:strCache>
            </c:strRef>
          </c:cat>
          <c:val>
            <c:numRef>
              <c:f>'Hedge Calculations'!$Q$14:$Q$49</c:f>
              <c:numCache>
                <c:formatCode>\$#,##0.00</c:formatCode>
                <c:ptCount val="36"/>
                <c:pt idx="0">
                  <c:v>73.5814130434783</c:v>
                </c:pt>
                <c:pt idx="1">
                  <c:v>73.9861956521739</c:v>
                </c:pt>
                <c:pt idx="2">
                  <c:v>74.5979347826087</c:v>
                </c:pt>
                <c:pt idx="3">
                  <c:v>74.3095652173913</c:v>
                </c:pt>
                <c:pt idx="4">
                  <c:v>73.7046739130435</c:v>
                </c:pt>
                <c:pt idx="5">
                  <c:v>73.2641304347826</c:v>
                </c:pt>
                <c:pt idx="6">
                  <c:v>73.4353260869565</c:v>
                </c:pt>
                <c:pt idx="7">
                  <c:v>73.6711956521739</c:v>
                </c:pt>
                <c:pt idx="8">
                  <c:v>73.9778260869565</c:v>
                </c:pt>
                <c:pt idx="9">
                  <c:v>74.2875</c:v>
                </c:pt>
                <c:pt idx="10">
                  <c:v>73.8819565217391</c:v>
                </c:pt>
                <c:pt idx="11">
                  <c:v>73.8629347826087</c:v>
                </c:pt>
                <c:pt idx="12">
                  <c:v>74.0173913043478</c:v>
                </c:pt>
                <c:pt idx="13">
                  <c:v>73.6278260869565</c:v>
                </c:pt>
                <c:pt idx="14">
                  <c:v>73.1378260869565</c:v>
                </c:pt>
                <c:pt idx="15">
                  <c:v>73.2709782608696</c:v>
                </c:pt>
                <c:pt idx="16">
                  <c:v>73.1157608695652</c:v>
                </c:pt>
                <c:pt idx="17">
                  <c:v>73.1286956521739</c:v>
                </c:pt>
                <c:pt idx="18">
                  <c:v>73.5563043478261</c:v>
                </c:pt>
                <c:pt idx="19">
                  <c:v>73.2359782608696</c:v>
                </c:pt>
                <c:pt idx="20">
                  <c:v>72.985652173913</c:v>
                </c:pt>
                <c:pt idx="21">
                  <c:v>72.6280434782609</c:v>
                </c:pt>
                <c:pt idx="22">
                  <c:v>72.5238043478261</c:v>
                </c:pt>
                <c:pt idx="23">
                  <c:v>72.9803260869565</c:v>
                </c:pt>
                <c:pt idx="24">
                  <c:v>72.9970652173913</c:v>
                </c:pt>
                <c:pt idx="25">
                  <c:v>72.7284782608696</c:v>
                </c:pt>
                <c:pt idx="26">
                  <c:v>72.66</c:v>
                </c:pt>
                <c:pt idx="27">
                  <c:v>72.4264130434783</c:v>
                </c:pt>
                <c:pt idx="28">
                  <c:v>72.3632608695652</c:v>
                </c:pt>
                <c:pt idx="29">
                  <c:v>72.2042391304348</c:v>
                </c:pt>
                <c:pt idx="30">
                  <c:v>72.3617391304348</c:v>
                </c:pt>
                <c:pt idx="31">
                  <c:v>72.701847826087</c:v>
                </c:pt>
                <c:pt idx="32">
                  <c:v>74.7463043478261</c:v>
                </c:pt>
                <c:pt idx="33">
                  <c:v>75.4265217391304</c:v>
                </c:pt>
                <c:pt idx="34">
                  <c:v>75.5642391304348</c:v>
                </c:pt>
                <c:pt idx="35">
                  <c:v>74.2464130434783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'Hedge Calculations'!R13</c:f>
              <c:strCache>
                <c:ptCount val="1"/>
                <c:pt idx="0">
                  <c:v>Combined Net Realized Price ($/bbl)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'Hedge Calculations'!$A$14:$A$49</c:f>
              <c:strCache>
                <c:ptCount val="36"/>
                <c:pt idx="0">
                  <c:v>Jul-2023</c:v>
                </c:pt>
                <c:pt idx="1">
                  <c:v>Aug-2023</c:v>
                </c:pt>
                <c:pt idx="2">
                  <c:v>Sep-2023</c:v>
                </c:pt>
                <c:pt idx="3">
                  <c:v>Oct-2023</c:v>
                </c:pt>
                <c:pt idx="4">
                  <c:v>Nov-2023</c:v>
                </c:pt>
                <c:pt idx="5">
                  <c:v>Dec-2023</c:v>
                </c:pt>
                <c:pt idx="6">
                  <c:v>Jan-2024</c:v>
                </c:pt>
                <c:pt idx="7">
                  <c:v>Feb-2024</c:v>
                </c:pt>
                <c:pt idx="8">
                  <c:v>Mar-2024</c:v>
                </c:pt>
                <c:pt idx="9">
                  <c:v>Apr-2024</c:v>
                </c:pt>
                <c:pt idx="10">
                  <c:v>May-2024</c:v>
                </c:pt>
                <c:pt idx="11">
                  <c:v>Jun-2024</c:v>
                </c:pt>
                <c:pt idx="12">
                  <c:v>Jul-2024</c:v>
                </c:pt>
                <c:pt idx="13">
                  <c:v>Aug-2024</c:v>
                </c:pt>
                <c:pt idx="14">
                  <c:v>Sep-2024</c:v>
                </c:pt>
                <c:pt idx="15">
                  <c:v>Oct-2024</c:v>
                </c:pt>
                <c:pt idx="16">
                  <c:v>Nov-2024</c:v>
                </c:pt>
                <c:pt idx="17">
                  <c:v>Dec-2024</c:v>
                </c:pt>
                <c:pt idx="18">
                  <c:v>Jan-2025</c:v>
                </c:pt>
                <c:pt idx="19">
                  <c:v>Feb-2025</c:v>
                </c:pt>
                <c:pt idx="20">
                  <c:v>Mar-2025</c:v>
                </c:pt>
                <c:pt idx="21">
                  <c:v>Apr-2025</c:v>
                </c:pt>
                <c:pt idx="22">
                  <c:v>May-2025</c:v>
                </c:pt>
                <c:pt idx="23">
                  <c:v>Jun-2025</c:v>
                </c:pt>
                <c:pt idx="24">
                  <c:v>Jul-2025</c:v>
                </c:pt>
                <c:pt idx="25">
                  <c:v>Aug-2025</c:v>
                </c:pt>
                <c:pt idx="26">
                  <c:v>Sep-2025</c:v>
                </c:pt>
                <c:pt idx="27">
                  <c:v>Oct-2025</c:v>
                </c:pt>
                <c:pt idx="28">
                  <c:v>Nov-2025</c:v>
                </c:pt>
                <c:pt idx="29">
                  <c:v>Dec-2025</c:v>
                </c:pt>
                <c:pt idx="30">
                  <c:v>Jan-2026</c:v>
                </c:pt>
                <c:pt idx="31">
                  <c:v>Feb-2026</c:v>
                </c:pt>
                <c:pt idx="32">
                  <c:v>Mar-2026</c:v>
                </c:pt>
                <c:pt idx="33">
                  <c:v>Apr-2026</c:v>
                </c:pt>
                <c:pt idx="34">
                  <c:v>May-2026</c:v>
                </c:pt>
                <c:pt idx="35">
                  <c:v>Jun-2026</c:v>
                </c:pt>
              </c:strCache>
            </c:strRef>
          </c:cat>
          <c:val>
            <c:numRef>
              <c:f>'Hedge Calculations'!$R$14:$R$49</c:f>
              <c:numCache>
                <c:formatCode>\$#,##0.00</c:formatCode>
                <c:ptCount val="36"/>
                <c:pt idx="0">
                  <c:v>73.5814130434783</c:v>
                </c:pt>
                <c:pt idx="1">
                  <c:v>73.9861956521739</c:v>
                </c:pt>
                <c:pt idx="2">
                  <c:v>74.5979347826087</c:v>
                </c:pt>
                <c:pt idx="3">
                  <c:v>74.3095652173913</c:v>
                </c:pt>
                <c:pt idx="4">
                  <c:v>73.7046739130435</c:v>
                </c:pt>
                <c:pt idx="5">
                  <c:v>73.2641304347826</c:v>
                </c:pt>
                <c:pt idx="6">
                  <c:v>73.4353260869565</c:v>
                </c:pt>
                <c:pt idx="7">
                  <c:v>73.6711956521739</c:v>
                </c:pt>
                <c:pt idx="8">
                  <c:v>73.9778260869565</c:v>
                </c:pt>
                <c:pt idx="9">
                  <c:v>74.2875</c:v>
                </c:pt>
                <c:pt idx="10">
                  <c:v>73.8819565217391</c:v>
                </c:pt>
                <c:pt idx="11">
                  <c:v>73.8629347826087</c:v>
                </c:pt>
                <c:pt idx="12">
                  <c:v>74.0173913043478</c:v>
                </c:pt>
                <c:pt idx="13">
                  <c:v>73.6278260869565</c:v>
                </c:pt>
                <c:pt idx="14">
                  <c:v>73.1378260869565</c:v>
                </c:pt>
                <c:pt idx="15">
                  <c:v>73.2709782608696</c:v>
                </c:pt>
                <c:pt idx="16">
                  <c:v>73.1157608695652</c:v>
                </c:pt>
                <c:pt idx="17">
                  <c:v>73.1286956521739</c:v>
                </c:pt>
                <c:pt idx="18">
                  <c:v>73.5563043478261</c:v>
                </c:pt>
                <c:pt idx="19">
                  <c:v>73.2359782608696</c:v>
                </c:pt>
                <c:pt idx="20">
                  <c:v>72.985652173913</c:v>
                </c:pt>
                <c:pt idx="21">
                  <c:v>72.6280434782609</c:v>
                </c:pt>
                <c:pt idx="22">
                  <c:v>72.5238043478261</c:v>
                </c:pt>
                <c:pt idx="23">
                  <c:v>72.9803260869565</c:v>
                </c:pt>
                <c:pt idx="24">
                  <c:v>72.9970652173913</c:v>
                </c:pt>
                <c:pt idx="25">
                  <c:v>72.7284782608696</c:v>
                </c:pt>
                <c:pt idx="26">
                  <c:v>72.66</c:v>
                </c:pt>
                <c:pt idx="27">
                  <c:v>72.4264130434783</c:v>
                </c:pt>
                <c:pt idx="28">
                  <c:v>72.3632608695652</c:v>
                </c:pt>
                <c:pt idx="29">
                  <c:v>72.2042391304348</c:v>
                </c:pt>
                <c:pt idx="30">
                  <c:v>72.3617391304348</c:v>
                </c:pt>
                <c:pt idx="31">
                  <c:v>72.701847826087</c:v>
                </c:pt>
                <c:pt idx="32">
                  <c:v>74.7463043478261</c:v>
                </c:pt>
                <c:pt idx="33">
                  <c:v>75.4265217391304</c:v>
                </c:pt>
                <c:pt idx="34">
                  <c:v>75.5642391304348</c:v>
                </c:pt>
                <c:pt idx="35">
                  <c:v>74.2464130434783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337549"/>
        <c:axId val="67966304"/>
      </c:lineChart>
      <c:catAx>
        <c:axId val="553375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966304"/>
        <c:crosses val="autoZero"/>
        <c:auto val="1"/>
        <c:lblAlgn val="ctr"/>
        <c:lblOffset val="100"/>
        <c:noMultiLvlLbl val="0"/>
      </c:catAx>
      <c:valAx>
        <c:axId val="679663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Net Realized Price ($/bbl)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3375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Monthly Net Revenue by Strategy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'Hedge Calculations'!K13</c:f>
              <c:strCache>
                <c:ptCount val="1"/>
                <c:pt idx="0">
                  <c:v>Unhedged Net Revenue ($)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'Hedge Calculations'!$A$14:$A$49</c:f>
              <c:strCache>
                <c:ptCount val="36"/>
                <c:pt idx="0">
                  <c:v>Jul-2023</c:v>
                </c:pt>
                <c:pt idx="1">
                  <c:v>Aug-2023</c:v>
                </c:pt>
                <c:pt idx="2">
                  <c:v>Sep-2023</c:v>
                </c:pt>
                <c:pt idx="3">
                  <c:v>Oct-2023</c:v>
                </c:pt>
                <c:pt idx="4">
                  <c:v>Nov-2023</c:v>
                </c:pt>
                <c:pt idx="5">
                  <c:v>Dec-2023</c:v>
                </c:pt>
                <c:pt idx="6">
                  <c:v>Jan-2024</c:v>
                </c:pt>
                <c:pt idx="7">
                  <c:v>Feb-2024</c:v>
                </c:pt>
                <c:pt idx="8">
                  <c:v>Mar-2024</c:v>
                </c:pt>
                <c:pt idx="9">
                  <c:v>Apr-2024</c:v>
                </c:pt>
                <c:pt idx="10">
                  <c:v>May-2024</c:v>
                </c:pt>
                <c:pt idx="11">
                  <c:v>Jun-2024</c:v>
                </c:pt>
                <c:pt idx="12">
                  <c:v>Jul-2024</c:v>
                </c:pt>
                <c:pt idx="13">
                  <c:v>Aug-2024</c:v>
                </c:pt>
                <c:pt idx="14">
                  <c:v>Sep-2024</c:v>
                </c:pt>
                <c:pt idx="15">
                  <c:v>Oct-2024</c:v>
                </c:pt>
                <c:pt idx="16">
                  <c:v>Nov-2024</c:v>
                </c:pt>
                <c:pt idx="17">
                  <c:v>Dec-2024</c:v>
                </c:pt>
                <c:pt idx="18">
                  <c:v>Jan-2025</c:v>
                </c:pt>
                <c:pt idx="19">
                  <c:v>Feb-2025</c:v>
                </c:pt>
                <c:pt idx="20">
                  <c:v>Mar-2025</c:v>
                </c:pt>
                <c:pt idx="21">
                  <c:v>Apr-2025</c:v>
                </c:pt>
                <c:pt idx="22">
                  <c:v>May-2025</c:v>
                </c:pt>
                <c:pt idx="23">
                  <c:v>Jun-2025</c:v>
                </c:pt>
                <c:pt idx="24">
                  <c:v>Jul-2025</c:v>
                </c:pt>
                <c:pt idx="25">
                  <c:v>Aug-2025</c:v>
                </c:pt>
                <c:pt idx="26">
                  <c:v>Sep-2025</c:v>
                </c:pt>
                <c:pt idx="27">
                  <c:v>Oct-2025</c:v>
                </c:pt>
                <c:pt idx="28">
                  <c:v>Nov-2025</c:v>
                </c:pt>
                <c:pt idx="29">
                  <c:v>Dec-2025</c:v>
                </c:pt>
                <c:pt idx="30">
                  <c:v>Jan-2026</c:v>
                </c:pt>
                <c:pt idx="31">
                  <c:v>Feb-2026</c:v>
                </c:pt>
                <c:pt idx="32">
                  <c:v>Mar-2026</c:v>
                </c:pt>
                <c:pt idx="33">
                  <c:v>Apr-2026</c:v>
                </c:pt>
                <c:pt idx="34">
                  <c:v>May-2026</c:v>
                </c:pt>
                <c:pt idx="35">
                  <c:v>Jun-2026</c:v>
                </c:pt>
              </c:strCache>
            </c:strRef>
          </c:cat>
          <c:val>
            <c:numRef>
              <c:f>'Hedge Calculations'!$K$14:$K$49</c:f>
              <c:numCache>
                <c:formatCode>\$#,##0;"($"#,##0\)</c:formatCode>
                <c:ptCount val="36"/>
                <c:pt idx="0">
                  <c:v>3430220</c:v>
                </c:pt>
                <c:pt idx="1">
                  <c:v>3674940</c:v>
                </c:pt>
                <c:pt idx="2">
                  <c:v>4044780</c:v>
                </c:pt>
                <c:pt idx="3">
                  <c:v>3870440</c:v>
                </c:pt>
                <c:pt idx="4">
                  <c:v>3504740</c:v>
                </c:pt>
                <c:pt idx="5">
                  <c:v>3238400</c:v>
                </c:pt>
                <c:pt idx="6">
                  <c:v>3341900</c:v>
                </c:pt>
                <c:pt idx="7">
                  <c:v>3484500</c:v>
                </c:pt>
                <c:pt idx="8">
                  <c:v>3669880</c:v>
                </c:pt>
                <c:pt idx="9">
                  <c:v>3857100</c:v>
                </c:pt>
                <c:pt idx="10">
                  <c:v>3611920</c:v>
                </c:pt>
                <c:pt idx="11">
                  <c:v>3600420</c:v>
                </c:pt>
                <c:pt idx="12">
                  <c:v>3693800</c:v>
                </c:pt>
                <c:pt idx="13">
                  <c:v>3458280</c:v>
                </c:pt>
                <c:pt idx="14">
                  <c:v>3162040</c:v>
                </c:pt>
                <c:pt idx="15">
                  <c:v>3242540</c:v>
                </c:pt>
                <c:pt idx="16">
                  <c:v>3148700</c:v>
                </c:pt>
                <c:pt idx="17">
                  <c:v>3156520</c:v>
                </c:pt>
                <c:pt idx="18">
                  <c:v>3415040</c:v>
                </c:pt>
                <c:pt idx="19">
                  <c:v>3221380</c:v>
                </c:pt>
                <c:pt idx="20">
                  <c:v>3070040</c:v>
                </c:pt>
                <c:pt idx="21">
                  <c:v>2853840</c:v>
                </c:pt>
                <c:pt idx="22">
                  <c:v>2790820</c:v>
                </c:pt>
                <c:pt idx="23">
                  <c:v>3066820</c:v>
                </c:pt>
                <c:pt idx="24">
                  <c:v>3076940</c:v>
                </c:pt>
                <c:pt idx="25">
                  <c:v>2914560</c:v>
                </c:pt>
                <c:pt idx="26">
                  <c:v>2873160</c:v>
                </c:pt>
                <c:pt idx="27">
                  <c:v>2731940</c:v>
                </c:pt>
                <c:pt idx="28">
                  <c:v>2693760</c:v>
                </c:pt>
                <c:pt idx="29">
                  <c:v>2597620</c:v>
                </c:pt>
                <c:pt idx="30">
                  <c:v>2692840</c:v>
                </c:pt>
                <c:pt idx="31">
                  <c:v>2898460</c:v>
                </c:pt>
                <c:pt idx="32">
                  <c:v>4134480</c:v>
                </c:pt>
                <c:pt idx="33">
                  <c:v>4545720</c:v>
                </c:pt>
                <c:pt idx="34">
                  <c:v>4628980</c:v>
                </c:pt>
                <c:pt idx="35">
                  <c:v>3832260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'Hedge Calculations'!M13</c:f>
              <c:strCache>
                <c:ptCount val="1"/>
                <c:pt idx="0">
                  <c:v>WTI Swap Net Revenue ($)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'Hedge Calculations'!$A$14:$A$49</c:f>
              <c:strCache>
                <c:ptCount val="36"/>
                <c:pt idx="0">
                  <c:v>Jul-2023</c:v>
                </c:pt>
                <c:pt idx="1">
                  <c:v>Aug-2023</c:v>
                </c:pt>
                <c:pt idx="2">
                  <c:v>Sep-2023</c:v>
                </c:pt>
                <c:pt idx="3">
                  <c:v>Oct-2023</c:v>
                </c:pt>
                <c:pt idx="4">
                  <c:v>Nov-2023</c:v>
                </c:pt>
                <c:pt idx="5">
                  <c:v>Dec-2023</c:v>
                </c:pt>
                <c:pt idx="6">
                  <c:v>Jan-2024</c:v>
                </c:pt>
                <c:pt idx="7">
                  <c:v>Feb-2024</c:v>
                </c:pt>
                <c:pt idx="8">
                  <c:v>Mar-2024</c:v>
                </c:pt>
                <c:pt idx="9">
                  <c:v>Apr-2024</c:v>
                </c:pt>
                <c:pt idx="10">
                  <c:v>May-2024</c:v>
                </c:pt>
                <c:pt idx="11">
                  <c:v>Jun-2024</c:v>
                </c:pt>
                <c:pt idx="12">
                  <c:v>Jul-2024</c:v>
                </c:pt>
                <c:pt idx="13">
                  <c:v>Aug-2024</c:v>
                </c:pt>
                <c:pt idx="14">
                  <c:v>Sep-2024</c:v>
                </c:pt>
                <c:pt idx="15">
                  <c:v>Oct-2024</c:v>
                </c:pt>
                <c:pt idx="16">
                  <c:v>Nov-2024</c:v>
                </c:pt>
                <c:pt idx="17">
                  <c:v>Dec-2024</c:v>
                </c:pt>
                <c:pt idx="18">
                  <c:v>Jan-2025</c:v>
                </c:pt>
                <c:pt idx="19">
                  <c:v>Feb-2025</c:v>
                </c:pt>
                <c:pt idx="20">
                  <c:v>Mar-2025</c:v>
                </c:pt>
                <c:pt idx="21">
                  <c:v>Apr-2025</c:v>
                </c:pt>
                <c:pt idx="22">
                  <c:v>May-2025</c:v>
                </c:pt>
                <c:pt idx="23">
                  <c:v>Jun-2025</c:v>
                </c:pt>
                <c:pt idx="24">
                  <c:v>Jul-2025</c:v>
                </c:pt>
                <c:pt idx="25">
                  <c:v>Aug-2025</c:v>
                </c:pt>
                <c:pt idx="26">
                  <c:v>Sep-2025</c:v>
                </c:pt>
                <c:pt idx="27">
                  <c:v>Oct-2025</c:v>
                </c:pt>
                <c:pt idx="28">
                  <c:v>Nov-2025</c:v>
                </c:pt>
                <c:pt idx="29">
                  <c:v>Dec-2025</c:v>
                </c:pt>
                <c:pt idx="30">
                  <c:v>Jan-2026</c:v>
                </c:pt>
                <c:pt idx="31">
                  <c:v>Feb-2026</c:v>
                </c:pt>
                <c:pt idx="32">
                  <c:v>Mar-2026</c:v>
                </c:pt>
                <c:pt idx="33">
                  <c:v>Apr-2026</c:v>
                </c:pt>
                <c:pt idx="34">
                  <c:v>May-2026</c:v>
                </c:pt>
                <c:pt idx="35">
                  <c:v>Jun-2026</c:v>
                </c:pt>
              </c:strCache>
            </c:strRef>
          </c:cat>
          <c:val>
            <c:numRef>
              <c:f>'Hedge Calculations'!$M$14:$M$49</c:f>
              <c:numCache>
                <c:formatCode>\$#,##0;"($"#,##0\)</c:formatCode>
                <c:ptCount val="36"/>
                <c:pt idx="0">
                  <c:v>3384745</c:v>
                </c:pt>
                <c:pt idx="1">
                  <c:v>3403365</c:v>
                </c:pt>
                <c:pt idx="2">
                  <c:v>3431505</c:v>
                </c:pt>
                <c:pt idx="3">
                  <c:v>3418240</c:v>
                </c:pt>
                <c:pt idx="4">
                  <c:v>3390415</c:v>
                </c:pt>
                <c:pt idx="5">
                  <c:v>3370150</c:v>
                </c:pt>
                <c:pt idx="6">
                  <c:v>3378025</c:v>
                </c:pt>
                <c:pt idx="7">
                  <c:v>3388875</c:v>
                </c:pt>
                <c:pt idx="8">
                  <c:v>3402980</c:v>
                </c:pt>
                <c:pt idx="9">
                  <c:v>3417225</c:v>
                </c:pt>
                <c:pt idx="10">
                  <c:v>3398570</c:v>
                </c:pt>
                <c:pt idx="11">
                  <c:v>3397695</c:v>
                </c:pt>
                <c:pt idx="12">
                  <c:v>3404800</c:v>
                </c:pt>
                <c:pt idx="13">
                  <c:v>3386880</c:v>
                </c:pt>
                <c:pt idx="14">
                  <c:v>3364340</c:v>
                </c:pt>
                <c:pt idx="15">
                  <c:v>3370465</c:v>
                </c:pt>
                <c:pt idx="16">
                  <c:v>3363325</c:v>
                </c:pt>
                <c:pt idx="17">
                  <c:v>3363920</c:v>
                </c:pt>
                <c:pt idx="18">
                  <c:v>3383590</c:v>
                </c:pt>
                <c:pt idx="19">
                  <c:v>3368855</c:v>
                </c:pt>
                <c:pt idx="20">
                  <c:v>3357340</c:v>
                </c:pt>
                <c:pt idx="21">
                  <c:v>3340890</c:v>
                </c:pt>
                <c:pt idx="22">
                  <c:v>3336095</c:v>
                </c:pt>
                <c:pt idx="23">
                  <c:v>3357095</c:v>
                </c:pt>
                <c:pt idx="24">
                  <c:v>3357865</c:v>
                </c:pt>
                <c:pt idx="25">
                  <c:v>3345510</c:v>
                </c:pt>
                <c:pt idx="26">
                  <c:v>3342360</c:v>
                </c:pt>
                <c:pt idx="27">
                  <c:v>3331615</c:v>
                </c:pt>
                <c:pt idx="28">
                  <c:v>3328710</c:v>
                </c:pt>
                <c:pt idx="29">
                  <c:v>3321395</c:v>
                </c:pt>
                <c:pt idx="30">
                  <c:v>3328640</c:v>
                </c:pt>
                <c:pt idx="31">
                  <c:v>3344285</c:v>
                </c:pt>
                <c:pt idx="32">
                  <c:v>3438330</c:v>
                </c:pt>
                <c:pt idx="33">
                  <c:v>3469620</c:v>
                </c:pt>
                <c:pt idx="34">
                  <c:v>3475955</c:v>
                </c:pt>
                <c:pt idx="35">
                  <c:v>3415335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'Hedge Calculations'!O13</c:f>
              <c:strCache>
                <c:ptCount val="1"/>
                <c:pt idx="0">
                  <c:v>Combined Net Revenue ($)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'Hedge Calculations'!$A$14:$A$49</c:f>
              <c:strCache>
                <c:ptCount val="36"/>
                <c:pt idx="0">
                  <c:v>Jul-2023</c:v>
                </c:pt>
                <c:pt idx="1">
                  <c:v>Aug-2023</c:v>
                </c:pt>
                <c:pt idx="2">
                  <c:v>Sep-2023</c:v>
                </c:pt>
                <c:pt idx="3">
                  <c:v>Oct-2023</c:v>
                </c:pt>
                <c:pt idx="4">
                  <c:v>Nov-2023</c:v>
                </c:pt>
                <c:pt idx="5">
                  <c:v>Dec-2023</c:v>
                </c:pt>
                <c:pt idx="6">
                  <c:v>Jan-2024</c:v>
                </c:pt>
                <c:pt idx="7">
                  <c:v>Feb-2024</c:v>
                </c:pt>
                <c:pt idx="8">
                  <c:v>Mar-2024</c:v>
                </c:pt>
                <c:pt idx="9">
                  <c:v>Apr-2024</c:v>
                </c:pt>
                <c:pt idx="10">
                  <c:v>May-2024</c:v>
                </c:pt>
                <c:pt idx="11">
                  <c:v>Jun-2024</c:v>
                </c:pt>
                <c:pt idx="12">
                  <c:v>Jul-2024</c:v>
                </c:pt>
                <c:pt idx="13">
                  <c:v>Aug-2024</c:v>
                </c:pt>
                <c:pt idx="14">
                  <c:v>Sep-2024</c:v>
                </c:pt>
                <c:pt idx="15">
                  <c:v>Oct-2024</c:v>
                </c:pt>
                <c:pt idx="16">
                  <c:v>Nov-2024</c:v>
                </c:pt>
                <c:pt idx="17">
                  <c:v>Dec-2024</c:v>
                </c:pt>
                <c:pt idx="18">
                  <c:v>Jan-2025</c:v>
                </c:pt>
                <c:pt idx="19">
                  <c:v>Feb-2025</c:v>
                </c:pt>
                <c:pt idx="20">
                  <c:v>Mar-2025</c:v>
                </c:pt>
                <c:pt idx="21">
                  <c:v>Apr-2025</c:v>
                </c:pt>
                <c:pt idx="22">
                  <c:v>May-2025</c:v>
                </c:pt>
                <c:pt idx="23">
                  <c:v>Jun-2025</c:v>
                </c:pt>
                <c:pt idx="24">
                  <c:v>Jul-2025</c:v>
                </c:pt>
                <c:pt idx="25">
                  <c:v>Aug-2025</c:v>
                </c:pt>
                <c:pt idx="26">
                  <c:v>Sep-2025</c:v>
                </c:pt>
                <c:pt idx="27">
                  <c:v>Oct-2025</c:v>
                </c:pt>
                <c:pt idx="28">
                  <c:v>Nov-2025</c:v>
                </c:pt>
                <c:pt idx="29">
                  <c:v>Dec-2025</c:v>
                </c:pt>
                <c:pt idx="30">
                  <c:v>Jan-2026</c:v>
                </c:pt>
                <c:pt idx="31">
                  <c:v>Feb-2026</c:v>
                </c:pt>
                <c:pt idx="32">
                  <c:v>Mar-2026</c:v>
                </c:pt>
                <c:pt idx="33">
                  <c:v>Apr-2026</c:v>
                </c:pt>
                <c:pt idx="34">
                  <c:v>May-2026</c:v>
                </c:pt>
                <c:pt idx="35">
                  <c:v>Jun-2026</c:v>
                </c:pt>
              </c:strCache>
            </c:strRef>
          </c:cat>
          <c:val>
            <c:numRef>
              <c:f>'Hedge Calculations'!$O$14:$O$49</c:f>
              <c:numCache>
                <c:formatCode>\$#,##0;"($"#,##0\)</c:formatCode>
                <c:ptCount val="36"/>
                <c:pt idx="0">
                  <c:v>3384745</c:v>
                </c:pt>
                <c:pt idx="1">
                  <c:v>3403365</c:v>
                </c:pt>
                <c:pt idx="2">
                  <c:v>3431505</c:v>
                </c:pt>
                <c:pt idx="3">
                  <c:v>3418240</c:v>
                </c:pt>
                <c:pt idx="4">
                  <c:v>3390415</c:v>
                </c:pt>
                <c:pt idx="5">
                  <c:v>3370150</c:v>
                </c:pt>
                <c:pt idx="6">
                  <c:v>3378025</c:v>
                </c:pt>
                <c:pt idx="7">
                  <c:v>3388875</c:v>
                </c:pt>
                <c:pt idx="8">
                  <c:v>3402980</c:v>
                </c:pt>
                <c:pt idx="9">
                  <c:v>3417225</c:v>
                </c:pt>
                <c:pt idx="10">
                  <c:v>3398570</c:v>
                </c:pt>
                <c:pt idx="11">
                  <c:v>3397695</c:v>
                </c:pt>
                <c:pt idx="12">
                  <c:v>3404800</c:v>
                </c:pt>
                <c:pt idx="13">
                  <c:v>3386880</c:v>
                </c:pt>
                <c:pt idx="14">
                  <c:v>3364340</c:v>
                </c:pt>
                <c:pt idx="15">
                  <c:v>3370465</c:v>
                </c:pt>
                <c:pt idx="16">
                  <c:v>3363325</c:v>
                </c:pt>
                <c:pt idx="17">
                  <c:v>3363920</c:v>
                </c:pt>
                <c:pt idx="18">
                  <c:v>3383590</c:v>
                </c:pt>
                <c:pt idx="19">
                  <c:v>3368855</c:v>
                </c:pt>
                <c:pt idx="20">
                  <c:v>3357340</c:v>
                </c:pt>
                <c:pt idx="21">
                  <c:v>3340890</c:v>
                </c:pt>
                <c:pt idx="22">
                  <c:v>3336095</c:v>
                </c:pt>
                <c:pt idx="23">
                  <c:v>3357095</c:v>
                </c:pt>
                <c:pt idx="24">
                  <c:v>3357865</c:v>
                </c:pt>
                <c:pt idx="25">
                  <c:v>3345510</c:v>
                </c:pt>
                <c:pt idx="26">
                  <c:v>3342360</c:v>
                </c:pt>
                <c:pt idx="27">
                  <c:v>3331615</c:v>
                </c:pt>
                <c:pt idx="28">
                  <c:v>3328710</c:v>
                </c:pt>
                <c:pt idx="29">
                  <c:v>3321395</c:v>
                </c:pt>
                <c:pt idx="30">
                  <c:v>3328640</c:v>
                </c:pt>
                <c:pt idx="31">
                  <c:v>3344285</c:v>
                </c:pt>
                <c:pt idx="32">
                  <c:v>3438330</c:v>
                </c:pt>
                <c:pt idx="33">
                  <c:v>3469620</c:v>
                </c:pt>
                <c:pt idx="34">
                  <c:v>3475955</c:v>
                </c:pt>
                <c:pt idx="35">
                  <c:v>3415335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302454"/>
        <c:axId val="6613034"/>
      </c:lineChart>
      <c:catAx>
        <c:axId val="92302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13034"/>
        <c:crosses val="autoZero"/>
        <c:auto val="1"/>
        <c:lblAlgn val="ctr"/>
        <c:lblOffset val="100"/>
        <c:noMultiLvlLbl val="0"/>
      </c:catAx>
      <c:valAx>
        <c:axId val="66130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Net 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302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31</xdr:row>
      <xdr:rowOff>0</xdr:rowOff>
    </xdr:from>
    <xdr:to>
      <xdr:col>4</xdr:col>
      <xdr:colOff>621720</xdr:colOff>
      <xdr:row>48</xdr:row>
      <xdr:rowOff>1080</xdr:rowOff>
    </xdr:to>
    <xdr:graphicFrame>
      <xdr:nvGraphicFramePr>
        <xdr:cNvPr id="1" name="Chart 1"/>
        <xdr:cNvGraphicFramePr/>
      </xdr:nvGraphicFramePr>
      <xdr:xfrm>
        <a:off x="0" y="713484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50</xdr:row>
      <xdr:rowOff>0</xdr:rowOff>
    </xdr:from>
    <xdr:to>
      <xdr:col>4</xdr:col>
      <xdr:colOff>621720</xdr:colOff>
      <xdr:row>67</xdr:row>
      <xdr:rowOff>1080</xdr:rowOff>
    </xdr:to>
    <xdr:graphicFrame>
      <xdr:nvGraphicFramePr>
        <xdr:cNvPr id="2" name="Chart 2"/>
        <xdr:cNvGraphicFramePr/>
      </xdr:nvGraphicFramePr>
      <xdr:xfrm>
        <a:off x="0" y="107542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G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  <c r="G4" s="4"/>
    </row>
    <row r="6" customFormat="false" ht="30" hidden="false" customHeight="true" outlineLevel="0" collapsed="false">
      <c r="A6" s="3" t="s">
        <v>4</v>
      </c>
      <c r="B6" s="4" t="s">
        <v>5</v>
      </c>
      <c r="C6" s="4"/>
      <c r="D6" s="4"/>
      <c r="E6" s="4"/>
      <c r="F6" s="4"/>
      <c r="G6" s="4"/>
    </row>
    <row r="8" customFormat="false" ht="30" hidden="false" customHeight="true" outlineLevel="0" collapsed="false">
      <c r="A8" s="3" t="s">
        <v>6</v>
      </c>
      <c r="B8" s="5" t="s">
        <v>7</v>
      </c>
      <c r="C8" s="5"/>
      <c r="D8" s="5"/>
      <c r="E8" s="5"/>
      <c r="F8" s="5"/>
      <c r="G8" s="5"/>
    </row>
    <row r="10" customFormat="false" ht="15" hidden="false" customHeight="false" outlineLevel="0" collapsed="false">
      <c r="A10" s="6" t="s">
        <v>8</v>
      </c>
      <c r="B10" s="6"/>
      <c r="C10" s="6"/>
      <c r="D10" s="6"/>
      <c r="E10" s="6"/>
      <c r="F10" s="6"/>
      <c r="G10" s="6"/>
    </row>
    <row r="11" customFormat="false" ht="23.85" hidden="false" customHeight="false" outlineLevel="0" collapsed="false">
      <c r="A11" s="7" t="s">
        <v>9</v>
      </c>
      <c r="B11" s="7" t="s">
        <v>10</v>
      </c>
      <c r="C11" s="7" t="s">
        <v>11</v>
      </c>
      <c r="D11" s="7" t="s">
        <v>12</v>
      </c>
      <c r="E11" s="7" t="s">
        <v>13</v>
      </c>
      <c r="F11" s="7" t="s">
        <v>14</v>
      </c>
      <c r="G11" s="7" t="s">
        <v>15</v>
      </c>
    </row>
    <row r="12" customFormat="false" ht="15" hidden="false" customHeight="false" outlineLevel="0" collapsed="false">
      <c r="A12" s="8" t="s">
        <v>16</v>
      </c>
      <c r="B12" s="9" t="n">
        <f aca="false">'Hedge Calculations'!B6</f>
        <v>73.2063888888889</v>
      </c>
      <c r="C12" s="10" t="n">
        <f aca="false">'Hedge Calculations'!B7</f>
        <v>3367493.88888889</v>
      </c>
      <c r="D12" s="10" t="n">
        <f aca="false">'Hedge Calculations'!B8</f>
        <v>2597620</v>
      </c>
      <c r="E12" s="10" t="n">
        <f aca="false">'Hedge Calculations'!B10</f>
        <v>0</v>
      </c>
      <c r="F12" s="10" t="n">
        <f aca="false">'Hedge Calculations'!B9-'Hedge Calculations'!B8</f>
        <v>2031360</v>
      </c>
      <c r="G12" s="11" t="n">
        <f aca="false">'Hedge Calculations'!B11</f>
        <v>0</v>
      </c>
    </row>
    <row r="13" customFormat="false" ht="15" hidden="false" customHeight="false" outlineLevel="0" collapsed="false">
      <c r="A13" s="8" t="s">
        <v>17</v>
      </c>
      <c r="B13" s="9" t="n">
        <f aca="false">'Hedge Calculations'!C6</f>
        <v>73.4776600241546</v>
      </c>
      <c r="C13" s="10" t="n">
        <f aca="false">'Hedge Calculations'!C7</f>
        <v>3379972.36111111</v>
      </c>
      <c r="D13" s="10" t="n">
        <f aca="false">'Hedge Calculations'!C8</f>
        <v>3321395</v>
      </c>
      <c r="E13" s="10" t="n">
        <f aca="false">'Hedge Calculations'!C10</f>
        <v>449225.000000001</v>
      </c>
      <c r="F13" s="10" t="n">
        <f aca="false">'Hedge Calculations'!C9-'Hedge Calculations'!C8</f>
        <v>154560</v>
      </c>
      <c r="G13" s="11" t="n">
        <f aca="false">'Hedge Calculations'!C11</f>
        <v>0</v>
      </c>
    </row>
    <row r="14" customFormat="false" ht="15" hidden="false" customHeight="false" outlineLevel="0" collapsed="false">
      <c r="A14" s="8" t="s">
        <v>18</v>
      </c>
      <c r="B14" s="9" t="n">
        <f aca="false">'Hedge Calculations'!D6</f>
        <v>73.4776600241546</v>
      </c>
      <c r="C14" s="10" t="n">
        <f aca="false">'Hedge Calculations'!D7</f>
        <v>3379972.36111111</v>
      </c>
      <c r="D14" s="10" t="n">
        <f aca="false">'Hedge Calculations'!D8</f>
        <v>3321395</v>
      </c>
      <c r="E14" s="10" t="n">
        <f aca="false">'Hedge Calculations'!D10</f>
        <v>449225.000000001</v>
      </c>
      <c r="F14" s="10" t="n">
        <f aca="false">'Hedge Calculations'!D9-'Hedge Calculations'!D8</f>
        <v>154560</v>
      </c>
      <c r="G14" s="11" t="n">
        <f aca="false">'Hedge Calculations'!D11</f>
        <v>0</v>
      </c>
    </row>
    <row r="16" customFormat="false" ht="15" hidden="false" customHeight="false" outlineLevel="0" collapsed="false">
      <c r="A16" s="6" t="s">
        <v>19</v>
      </c>
      <c r="B16" s="6"/>
      <c r="C16" s="6"/>
      <c r="D16" s="6"/>
      <c r="E16" s="6"/>
      <c r="F16" s="6"/>
      <c r="G16" s="6"/>
    </row>
    <row r="17" customFormat="false" ht="27.75" hidden="false" customHeight="true" outlineLevel="0" collapsed="false">
      <c r="A17" s="4" t="s">
        <v>20</v>
      </c>
      <c r="B17" s="4"/>
      <c r="C17" s="4"/>
      <c r="D17" s="4"/>
      <c r="E17" s="4"/>
      <c r="F17" s="4"/>
      <c r="G17" s="4"/>
    </row>
    <row r="18" customFormat="false" ht="27.75" hidden="false" customHeight="true" outlineLevel="0" collapsed="false">
      <c r="A18" s="4" t="s">
        <v>21</v>
      </c>
      <c r="B18" s="4"/>
      <c r="C18" s="4"/>
      <c r="D18" s="4"/>
      <c r="E18" s="4"/>
      <c r="F18" s="4"/>
      <c r="G18" s="4"/>
    </row>
    <row r="19" customFormat="false" ht="27.75" hidden="false" customHeight="true" outlineLevel="0" collapsed="false">
      <c r="A19" s="4" t="s">
        <v>22</v>
      </c>
      <c r="B19" s="4"/>
      <c r="C19" s="4"/>
      <c r="D19" s="4"/>
      <c r="E19" s="4"/>
      <c r="F19" s="4"/>
      <c r="G19" s="4"/>
    </row>
    <row r="21" customFormat="false" ht="15" hidden="false" customHeight="false" outlineLevel="0" collapsed="false">
      <c r="A21" s="6" t="s">
        <v>23</v>
      </c>
      <c r="B21" s="6"/>
      <c r="C21" s="6"/>
      <c r="D21" s="6"/>
      <c r="E21" s="6"/>
      <c r="F21" s="6"/>
      <c r="G21" s="6"/>
    </row>
    <row r="22" customFormat="false" ht="15" hidden="false" customHeight="true" outlineLevel="0" collapsed="false">
      <c r="A22" s="7" t="s">
        <v>9</v>
      </c>
      <c r="B22" s="7" t="s">
        <v>24</v>
      </c>
      <c r="C22" s="7"/>
      <c r="D22" s="7"/>
      <c r="E22" s="7"/>
      <c r="F22" s="7"/>
      <c r="G22" s="7"/>
    </row>
    <row r="23" customFormat="false" ht="15" hidden="false" customHeight="false" outlineLevel="0" collapsed="false">
      <c r="A23" s="8" t="s">
        <v>16</v>
      </c>
      <c r="B23" s="8" t="s">
        <v>25</v>
      </c>
      <c r="C23" s="8"/>
      <c r="D23" s="8"/>
      <c r="E23" s="8"/>
      <c r="F23" s="8"/>
      <c r="G23" s="8"/>
    </row>
    <row r="24" customFormat="false" ht="15" hidden="false" customHeight="false" outlineLevel="0" collapsed="false">
      <c r="A24" s="8" t="s">
        <v>17</v>
      </c>
      <c r="B24" s="8" t="s">
        <v>26</v>
      </c>
      <c r="C24" s="8"/>
      <c r="D24" s="8"/>
      <c r="E24" s="8"/>
      <c r="F24" s="8"/>
      <c r="G24" s="8"/>
    </row>
    <row r="25" customFormat="false" ht="15" hidden="false" customHeight="false" outlineLevel="0" collapsed="false">
      <c r="A25" s="8" t="s">
        <v>27</v>
      </c>
      <c r="B25" s="8" t="s">
        <v>28</v>
      </c>
      <c r="C25" s="8"/>
      <c r="D25" s="8"/>
      <c r="E25" s="8"/>
      <c r="F25" s="8"/>
      <c r="G25" s="8"/>
    </row>
    <row r="27" customFormat="false" ht="15" hidden="false" customHeight="false" outlineLevel="0" collapsed="false">
      <c r="A27" s="6" t="s">
        <v>29</v>
      </c>
      <c r="B27" s="6"/>
      <c r="C27" s="6"/>
      <c r="D27" s="6"/>
      <c r="E27" s="6"/>
      <c r="F27" s="6"/>
      <c r="G27" s="6"/>
    </row>
    <row r="28" customFormat="false" ht="15" hidden="false" customHeight="true" outlineLevel="0" collapsed="false">
      <c r="A28" s="4" t="s">
        <v>30</v>
      </c>
      <c r="B28" s="4"/>
      <c r="C28" s="4"/>
      <c r="D28" s="4"/>
      <c r="E28" s="4"/>
      <c r="F28" s="4"/>
      <c r="G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</row>
  </sheetData>
  <mergeCells count="17">
    <mergeCell ref="A1:G1"/>
    <mergeCell ref="A2:G2"/>
    <mergeCell ref="B4:G4"/>
    <mergeCell ref="B6:G6"/>
    <mergeCell ref="B8:G8"/>
    <mergeCell ref="A10:G10"/>
    <mergeCell ref="A16:G16"/>
    <mergeCell ref="A17:G17"/>
    <mergeCell ref="A18:G18"/>
    <mergeCell ref="A19:G19"/>
    <mergeCell ref="A21:G21"/>
    <mergeCell ref="B22:G22"/>
    <mergeCell ref="B23:G23"/>
    <mergeCell ref="B24:G24"/>
    <mergeCell ref="B25:G25"/>
    <mergeCell ref="A27:G27"/>
    <mergeCell ref="A28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31</v>
      </c>
      <c r="B1" s="1"/>
      <c r="C1" s="1"/>
      <c r="D1" s="1"/>
    </row>
    <row r="2" customFormat="false" ht="15" hidden="false" customHeight="false" outlineLevel="0" collapsed="false">
      <c r="A2" s="2" t="s">
        <v>32</v>
      </c>
      <c r="B2" s="2"/>
      <c r="C2" s="2"/>
      <c r="D2" s="2"/>
    </row>
    <row r="4" customFormat="false" ht="15" hidden="false" customHeight="false" outlineLevel="0" collapsed="false">
      <c r="A4" s="6" t="s">
        <v>33</v>
      </c>
      <c r="B4" s="6"/>
      <c r="C4" s="6"/>
      <c r="D4" s="6"/>
    </row>
    <row r="5" customFormat="false" ht="15" hidden="false" customHeight="false" outlineLevel="0" collapsed="false">
      <c r="A5" s="7" t="s">
        <v>34</v>
      </c>
      <c r="B5" s="7" t="s">
        <v>35</v>
      </c>
      <c r="C5" s="7" t="s">
        <v>36</v>
      </c>
      <c r="D5" s="7" t="s">
        <v>37</v>
      </c>
    </row>
    <row r="6" customFormat="false" ht="15" hidden="false" customHeight="false" outlineLevel="0" collapsed="false">
      <c r="A6" s="8" t="s">
        <v>38</v>
      </c>
      <c r="B6" s="12" t="n">
        <v>50000</v>
      </c>
      <c r="C6" s="13" t="s">
        <v>39</v>
      </c>
      <c r="D6" s="13" t="s">
        <v>40</v>
      </c>
    </row>
    <row r="7" customFormat="false" ht="15" hidden="false" customHeight="false" outlineLevel="0" collapsed="false">
      <c r="A7" s="8" t="s">
        <v>41</v>
      </c>
      <c r="B7" s="14" t="n">
        <v>0.92</v>
      </c>
      <c r="C7" s="13" t="s">
        <v>42</v>
      </c>
      <c r="D7" s="13" t="s">
        <v>43</v>
      </c>
    </row>
    <row r="8" customFormat="false" ht="15" hidden="false" customHeight="false" outlineLevel="0" collapsed="false">
      <c r="A8" s="8" t="s">
        <v>44</v>
      </c>
      <c r="B8" s="14" t="n">
        <v>0.85</v>
      </c>
      <c r="C8" s="13" t="s">
        <v>42</v>
      </c>
      <c r="D8" s="13" t="s">
        <v>45</v>
      </c>
    </row>
    <row r="9" customFormat="false" ht="15" hidden="false" customHeight="false" outlineLevel="0" collapsed="false">
      <c r="A9" s="8" t="s">
        <v>46</v>
      </c>
      <c r="B9" s="15" t="n">
        <v>75</v>
      </c>
      <c r="C9" s="13" t="s">
        <v>47</v>
      </c>
      <c r="D9" s="13" t="s">
        <v>48</v>
      </c>
    </row>
    <row r="10" customFormat="false" ht="15" hidden="false" customHeight="false" outlineLevel="0" collapsed="false">
      <c r="A10" s="8" t="s">
        <v>49</v>
      </c>
      <c r="B10" s="15" t="n">
        <v>-1.5</v>
      </c>
      <c r="C10" s="13" t="s">
        <v>47</v>
      </c>
      <c r="D10" s="13" t="s">
        <v>50</v>
      </c>
    </row>
    <row r="11" customFormat="false" ht="15" hidden="false" customHeight="false" outlineLevel="0" collapsed="false">
      <c r="A11" s="8" t="s">
        <v>51</v>
      </c>
      <c r="B11" s="15" t="n">
        <v>-1.5</v>
      </c>
      <c r="C11" s="13" t="s">
        <v>47</v>
      </c>
      <c r="D11" s="13" t="s">
        <v>52</v>
      </c>
    </row>
    <row r="12" customFormat="false" ht="15" hidden="false" customHeight="false" outlineLevel="0" collapsed="false">
      <c r="A12" s="8" t="s">
        <v>53</v>
      </c>
      <c r="B12" s="16" t="n">
        <v>45108</v>
      </c>
      <c r="C12" s="13" t="s">
        <v>54</v>
      </c>
      <c r="D12" s="13" t="s">
        <v>55</v>
      </c>
    </row>
    <row r="13" customFormat="false" ht="15" hidden="false" customHeight="false" outlineLevel="0" collapsed="false">
      <c r="A13" s="8" t="s">
        <v>56</v>
      </c>
      <c r="B13" s="16" t="n">
        <v>46174</v>
      </c>
      <c r="C13" s="13" t="s">
        <v>54</v>
      </c>
      <c r="D13" s="13" t="s">
        <v>57</v>
      </c>
    </row>
    <row r="15" customFormat="false" ht="15" hidden="false" customHeight="false" outlineLevel="0" collapsed="false">
      <c r="A15" s="6" t="s">
        <v>58</v>
      </c>
      <c r="B15" s="6"/>
      <c r="C15" s="6"/>
      <c r="D15" s="6"/>
    </row>
    <row r="16" customFormat="false" ht="15" hidden="false" customHeight="false" outlineLevel="0" collapsed="false">
      <c r="A16" s="7" t="s">
        <v>59</v>
      </c>
      <c r="B16" s="7" t="s">
        <v>35</v>
      </c>
      <c r="C16" s="7" t="s">
        <v>36</v>
      </c>
      <c r="D16" s="7" t="s">
        <v>37</v>
      </c>
    </row>
    <row r="17" customFormat="false" ht="15" hidden="false" customHeight="false" outlineLevel="0" collapsed="false">
      <c r="A17" s="17" t="s">
        <v>60</v>
      </c>
      <c r="B17" s="18" t="s">
        <v>61</v>
      </c>
      <c r="C17" s="19" t="s">
        <v>47</v>
      </c>
      <c r="D17" s="19" t="s">
        <v>62</v>
      </c>
    </row>
    <row r="19" customFormat="false" ht="15" hidden="false" customHeight="false" outlineLevel="0" collapsed="false">
      <c r="A19" s="6" t="s">
        <v>63</v>
      </c>
      <c r="B19" s="6"/>
      <c r="C19" s="6"/>
      <c r="D19" s="6"/>
    </row>
    <row r="20" customFormat="false" ht="15" hidden="false" customHeight="false" outlineLevel="0" collapsed="false">
      <c r="A20" s="7" t="s">
        <v>64</v>
      </c>
      <c r="B20" s="7" t="s">
        <v>35</v>
      </c>
      <c r="C20" s="7" t="s">
        <v>36</v>
      </c>
      <c r="D20" s="7" t="s">
        <v>37</v>
      </c>
    </row>
    <row r="21" customFormat="false" ht="15" hidden="false" customHeight="false" outlineLevel="0" collapsed="false">
      <c r="A21" s="17" t="s">
        <v>65</v>
      </c>
      <c r="B21" s="20" t="n">
        <f aca="false">'Hedge Calculations'!D6</f>
        <v>73.4776600241546</v>
      </c>
      <c r="C21" s="19" t="s">
        <v>47</v>
      </c>
      <c r="D21" s="19" t="s">
        <v>66</v>
      </c>
    </row>
    <row r="22" customFormat="false" ht="15" hidden="false" customHeight="false" outlineLevel="0" collapsed="false">
      <c r="A22" s="17" t="s">
        <v>67</v>
      </c>
      <c r="B22" s="21" t="n">
        <f aca="false">'Hedge Calculations'!D10</f>
        <v>449225.000000001</v>
      </c>
      <c r="C22" s="19" t="s">
        <v>68</v>
      </c>
      <c r="D22" s="19" t="s">
        <v>69</v>
      </c>
    </row>
    <row r="23" customFormat="false" ht="15" hidden="false" customHeight="false" outlineLevel="0" collapsed="false">
      <c r="A23" s="17" t="s">
        <v>70</v>
      </c>
      <c r="B23" s="22" t="n">
        <f aca="false">'Hedge Calculations'!D11</f>
        <v>0</v>
      </c>
      <c r="C23" s="19" t="s">
        <v>71</v>
      </c>
      <c r="D23" s="19" t="s">
        <v>72</v>
      </c>
    </row>
  </sheetData>
  <mergeCells count="5">
    <mergeCell ref="A1:D1"/>
    <mergeCell ref="A2:D2"/>
    <mergeCell ref="A4:D4"/>
    <mergeCell ref="A15:D15"/>
    <mergeCell ref="A19:D19"/>
  </mergeCells>
  <dataValidations count="2">
    <dataValidation allowBlank="false" error="Enter a percentage between 0% and 200%." errorStyle="stop" operator="between" showDropDown="false" showErrorMessage="false" showInputMessage="false" sqref="B7" type="decimal">
      <formula1>0</formula1>
      <formula2>2</formula2>
    </dataValidation>
    <dataValidation allowBlank="false" error="Hedge percentage must be between 0% and 100%." errorStyle="stop" operator="between" showDropDown="false" showErrorMessage="false" showInputMessage="false" sqref="B8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D5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0"/>
  </cols>
  <sheetData>
    <row r="1" customFormat="false" ht="19.7" hidden="false" customHeight="false" outlineLevel="0" collapsed="false">
      <c r="A1" s="1" t="s">
        <v>73</v>
      </c>
      <c r="B1" s="1"/>
      <c r="C1" s="1"/>
      <c r="D1" s="1"/>
    </row>
    <row r="2" customFormat="false" ht="15" hidden="false" customHeight="false" outlineLevel="0" collapsed="false">
      <c r="A2" s="2" t="s">
        <v>74</v>
      </c>
      <c r="B2" s="2"/>
      <c r="C2" s="2"/>
      <c r="D2" s="2"/>
    </row>
    <row r="4" customFormat="false" ht="15" hidden="false" customHeight="false" outlineLevel="0" collapsed="false">
      <c r="A4" s="3" t="s">
        <v>75</v>
      </c>
      <c r="B4" s="23" t="s">
        <v>76</v>
      </c>
      <c r="C4" s="23"/>
      <c r="D4" s="23"/>
    </row>
    <row r="5" customFormat="false" ht="15" hidden="false" customHeight="false" outlineLevel="0" collapsed="false">
      <c r="A5" s="3" t="s">
        <v>77</v>
      </c>
      <c r="B5" s="23" t="s">
        <v>78</v>
      </c>
      <c r="C5" s="23"/>
      <c r="D5" s="23"/>
    </row>
    <row r="6" customFormat="false" ht="15" hidden="false" customHeight="false" outlineLevel="0" collapsed="false">
      <c r="A6" s="3" t="s">
        <v>79</v>
      </c>
      <c r="B6" s="23" t="s">
        <v>80</v>
      </c>
      <c r="C6" s="23"/>
      <c r="D6" s="23"/>
    </row>
    <row r="7" customFormat="false" ht="15" hidden="false" customHeight="false" outlineLevel="0" collapsed="false">
      <c r="A7" s="3" t="s">
        <v>81</v>
      </c>
      <c r="B7" s="23" t="s">
        <v>82</v>
      </c>
      <c r="C7" s="23"/>
      <c r="D7" s="23"/>
    </row>
    <row r="8" customFormat="false" ht="15" hidden="false" customHeight="false" outlineLevel="0" collapsed="false">
      <c r="A8" s="3" t="s">
        <v>83</v>
      </c>
      <c r="B8" s="23" t="s">
        <v>84</v>
      </c>
      <c r="C8" s="23"/>
      <c r="D8" s="23"/>
    </row>
    <row r="9" customFormat="false" ht="15" hidden="false" customHeight="false" outlineLevel="0" collapsed="false">
      <c r="A9" s="3" t="s">
        <v>85</v>
      </c>
      <c r="B9" s="23" t="s">
        <v>86</v>
      </c>
      <c r="C9" s="23"/>
      <c r="D9" s="23"/>
    </row>
    <row r="10" customFormat="false" ht="15" hidden="false" customHeight="false" outlineLevel="0" collapsed="false">
      <c r="A10" s="3" t="s">
        <v>87</v>
      </c>
      <c r="B10" s="23" t="s">
        <v>88</v>
      </c>
      <c r="C10" s="23"/>
      <c r="D10" s="23"/>
    </row>
    <row r="11" customFormat="false" ht="15" hidden="false" customHeight="false" outlineLevel="0" collapsed="false">
      <c r="A11" s="3" t="s">
        <v>89</v>
      </c>
      <c r="B11" s="23" t="s">
        <v>90</v>
      </c>
      <c r="C11" s="23"/>
      <c r="D11" s="23"/>
    </row>
    <row r="12" customFormat="false" ht="15" hidden="false" customHeight="false" outlineLevel="0" collapsed="false">
      <c r="A12" s="3" t="s">
        <v>91</v>
      </c>
      <c r="B12" s="23" t="s">
        <v>92</v>
      </c>
      <c r="C12" s="23"/>
      <c r="D12" s="23"/>
    </row>
    <row r="14" customFormat="false" ht="23.85" hidden="false" customHeight="false" outlineLevel="0" collapsed="false">
      <c r="A14" s="7" t="s">
        <v>93</v>
      </c>
      <c r="B14" s="7" t="s">
        <v>94</v>
      </c>
      <c r="C14" s="7" t="s">
        <v>95</v>
      </c>
      <c r="D14" s="7" t="s">
        <v>37</v>
      </c>
    </row>
    <row r="15" customFormat="false" ht="15" hidden="false" customHeight="false" outlineLevel="0" collapsed="false">
      <c r="A15" s="24" t="n">
        <v>31413</v>
      </c>
      <c r="B15" s="9" t="n">
        <v>22.93</v>
      </c>
      <c r="C15" s="13" t="s">
        <v>78</v>
      </c>
      <c r="D15" s="13"/>
    </row>
    <row r="16" customFormat="false" ht="15" hidden="false" customHeight="false" outlineLevel="0" collapsed="false">
      <c r="A16" s="24" t="n">
        <v>31444</v>
      </c>
      <c r="B16" s="9" t="n">
        <v>15.46</v>
      </c>
      <c r="C16" s="13" t="s">
        <v>78</v>
      </c>
      <c r="D16" s="13"/>
    </row>
    <row r="17" customFormat="false" ht="15" hidden="false" customHeight="false" outlineLevel="0" collapsed="false">
      <c r="A17" s="24" t="n">
        <v>31472</v>
      </c>
      <c r="B17" s="9" t="n">
        <v>12.61</v>
      </c>
      <c r="C17" s="13" t="s">
        <v>78</v>
      </c>
      <c r="D17" s="13"/>
    </row>
    <row r="18" customFormat="false" ht="15" hidden="false" customHeight="false" outlineLevel="0" collapsed="false">
      <c r="A18" s="24" t="n">
        <v>31503</v>
      </c>
      <c r="B18" s="9" t="n">
        <v>12.84</v>
      </c>
      <c r="C18" s="13" t="s">
        <v>78</v>
      </c>
      <c r="D18" s="13"/>
    </row>
    <row r="19" customFormat="false" ht="15" hidden="false" customHeight="false" outlineLevel="0" collapsed="false">
      <c r="A19" s="24" t="n">
        <v>31533</v>
      </c>
      <c r="B19" s="9" t="n">
        <v>15.38</v>
      </c>
      <c r="C19" s="13" t="s">
        <v>78</v>
      </c>
      <c r="D19" s="13"/>
    </row>
    <row r="20" customFormat="false" ht="15" hidden="false" customHeight="false" outlineLevel="0" collapsed="false">
      <c r="A20" s="24" t="n">
        <v>31564</v>
      </c>
      <c r="B20" s="9" t="n">
        <v>13.43</v>
      </c>
      <c r="C20" s="13" t="s">
        <v>78</v>
      </c>
      <c r="D20" s="13"/>
    </row>
    <row r="21" customFormat="false" ht="15" hidden="false" customHeight="false" outlineLevel="0" collapsed="false">
      <c r="A21" s="24" t="n">
        <v>31594</v>
      </c>
      <c r="B21" s="9" t="n">
        <v>11.59</v>
      </c>
      <c r="C21" s="13" t="s">
        <v>78</v>
      </c>
      <c r="D21" s="13"/>
    </row>
    <row r="22" customFormat="false" ht="15" hidden="false" customHeight="false" outlineLevel="0" collapsed="false">
      <c r="A22" s="24" t="n">
        <v>31625</v>
      </c>
      <c r="B22" s="9" t="n">
        <v>15.1</v>
      </c>
      <c r="C22" s="13" t="s">
        <v>78</v>
      </c>
      <c r="D22" s="13"/>
    </row>
    <row r="23" customFormat="false" ht="15" hidden="false" customHeight="false" outlineLevel="0" collapsed="false">
      <c r="A23" s="24" t="n">
        <v>31656</v>
      </c>
      <c r="B23" s="9" t="n">
        <v>14.87</v>
      </c>
      <c r="C23" s="13" t="s">
        <v>78</v>
      </c>
      <c r="D23" s="13"/>
    </row>
    <row r="24" customFormat="false" ht="15" hidden="false" customHeight="false" outlineLevel="0" collapsed="false">
      <c r="A24" s="24" t="n">
        <v>31686</v>
      </c>
      <c r="B24" s="9" t="n">
        <v>14.9</v>
      </c>
      <c r="C24" s="13" t="s">
        <v>78</v>
      </c>
      <c r="D24" s="13"/>
    </row>
    <row r="25" customFormat="false" ht="15" hidden="false" customHeight="false" outlineLevel="0" collapsed="false">
      <c r="A25" s="24" t="n">
        <v>31717</v>
      </c>
      <c r="B25" s="9" t="n">
        <v>15.22</v>
      </c>
      <c r="C25" s="13" t="s">
        <v>78</v>
      </c>
      <c r="D25" s="13"/>
    </row>
    <row r="26" customFormat="false" ht="15" hidden="false" customHeight="false" outlineLevel="0" collapsed="false">
      <c r="A26" s="24" t="n">
        <v>31747</v>
      </c>
      <c r="B26" s="9" t="n">
        <v>16.11</v>
      </c>
      <c r="C26" s="13" t="s">
        <v>78</v>
      </c>
      <c r="D26" s="13"/>
    </row>
    <row r="27" customFormat="false" ht="15" hidden="false" customHeight="false" outlineLevel="0" collapsed="false">
      <c r="A27" s="24" t="n">
        <v>31778</v>
      </c>
      <c r="B27" s="9" t="n">
        <v>18.65</v>
      </c>
      <c r="C27" s="13" t="s">
        <v>78</v>
      </c>
      <c r="D27" s="13"/>
    </row>
    <row r="28" customFormat="false" ht="15" hidden="false" customHeight="false" outlineLevel="0" collapsed="false">
      <c r="A28" s="24" t="n">
        <v>31809</v>
      </c>
      <c r="B28" s="9" t="n">
        <v>17.75</v>
      </c>
      <c r="C28" s="13" t="s">
        <v>78</v>
      </c>
      <c r="D28" s="13"/>
    </row>
    <row r="29" customFormat="false" ht="15" hidden="false" customHeight="false" outlineLevel="0" collapsed="false">
      <c r="A29" s="24" t="n">
        <v>31837</v>
      </c>
      <c r="B29" s="9" t="n">
        <v>18.3</v>
      </c>
      <c r="C29" s="13" t="s">
        <v>78</v>
      </c>
      <c r="D29" s="13"/>
    </row>
    <row r="30" customFormat="false" ht="15" hidden="false" customHeight="false" outlineLevel="0" collapsed="false">
      <c r="A30" s="24" t="n">
        <v>31868</v>
      </c>
      <c r="B30" s="9" t="n">
        <v>18.68</v>
      </c>
      <c r="C30" s="13" t="s">
        <v>78</v>
      </c>
      <c r="D30" s="13"/>
    </row>
    <row r="31" customFormat="false" ht="15" hidden="false" customHeight="false" outlineLevel="0" collapsed="false">
      <c r="A31" s="24" t="n">
        <v>31898</v>
      </c>
      <c r="B31" s="9" t="n">
        <v>19.44</v>
      </c>
      <c r="C31" s="13" t="s">
        <v>78</v>
      </c>
      <c r="D31" s="13"/>
    </row>
    <row r="32" customFormat="false" ht="15" hidden="false" customHeight="false" outlineLevel="0" collapsed="false">
      <c r="A32" s="24" t="n">
        <v>31929</v>
      </c>
      <c r="B32" s="9" t="n">
        <v>20.07</v>
      </c>
      <c r="C32" s="13" t="s">
        <v>78</v>
      </c>
      <c r="D32" s="13"/>
    </row>
    <row r="33" customFormat="false" ht="15" hidden="false" customHeight="false" outlineLevel="0" collapsed="false">
      <c r="A33" s="24" t="n">
        <v>31959</v>
      </c>
      <c r="B33" s="9" t="n">
        <v>21.34</v>
      </c>
      <c r="C33" s="13" t="s">
        <v>78</v>
      </c>
      <c r="D33" s="13"/>
    </row>
    <row r="34" customFormat="false" ht="15" hidden="false" customHeight="false" outlineLevel="0" collapsed="false">
      <c r="A34" s="24" t="n">
        <v>31990</v>
      </c>
      <c r="B34" s="9" t="n">
        <v>20.31</v>
      </c>
      <c r="C34" s="13" t="s">
        <v>78</v>
      </c>
      <c r="D34" s="13"/>
    </row>
    <row r="35" customFormat="false" ht="15" hidden="false" customHeight="false" outlineLevel="0" collapsed="false">
      <c r="A35" s="24" t="n">
        <v>32021</v>
      </c>
      <c r="B35" s="9" t="n">
        <v>19.53</v>
      </c>
      <c r="C35" s="13" t="s">
        <v>78</v>
      </c>
      <c r="D35" s="13"/>
    </row>
    <row r="36" customFormat="false" ht="15" hidden="false" customHeight="false" outlineLevel="0" collapsed="false">
      <c r="A36" s="24" t="n">
        <v>32051</v>
      </c>
      <c r="B36" s="9" t="n">
        <v>19.86</v>
      </c>
      <c r="C36" s="13" t="s">
        <v>78</v>
      </c>
      <c r="D36" s="13"/>
    </row>
    <row r="37" customFormat="false" ht="15" hidden="false" customHeight="false" outlineLevel="0" collapsed="false">
      <c r="A37" s="24" t="n">
        <v>32082</v>
      </c>
      <c r="B37" s="9" t="n">
        <v>18.85</v>
      </c>
      <c r="C37" s="13" t="s">
        <v>78</v>
      </c>
      <c r="D37" s="13"/>
    </row>
    <row r="38" customFormat="false" ht="15" hidden="false" customHeight="false" outlineLevel="0" collapsed="false">
      <c r="A38" s="24" t="n">
        <v>32112</v>
      </c>
      <c r="B38" s="9" t="n">
        <v>17.28</v>
      </c>
      <c r="C38" s="13" t="s">
        <v>78</v>
      </c>
      <c r="D38" s="13"/>
    </row>
    <row r="39" customFormat="false" ht="15" hidden="false" customHeight="false" outlineLevel="0" collapsed="false">
      <c r="A39" s="24" t="n">
        <v>32143</v>
      </c>
      <c r="B39" s="9" t="n">
        <v>17.13</v>
      </c>
      <c r="C39" s="13" t="s">
        <v>78</v>
      </c>
      <c r="D39" s="13"/>
    </row>
    <row r="40" customFormat="false" ht="15" hidden="false" customHeight="false" outlineLevel="0" collapsed="false">
      <c r="A40" s="24" t="n">
        <v>32174</v>
      </c>
      <c r="B40" s="9" t="n">
        <v>16.8</v>
      </c>
      <c r="C40" s="13" t="s">
        <v>78</v>
      </c>
      <c r="D40" s="13"/>
    </row>
    <row r="41" customFormat="false" ht="15" hidden="false" customHeight="false" outlineLevel="0" collapsed="false">
      <c r="A41" s="24" t="n">
        <v>32203</v>
      </c>
      <c r="B41" s="9" t="n">
        <v>16.2</v>
      </c>
      <c r="C41" s="13" t="s">
        <v>78</v>
      </c>
      <c r="D41" s="13"/>
    </row>
    <row r="42" customFormat="false" ht="15" hidden="false" customHeight="false" outlineLevel="0" collapsed="false">
      <c r="A42" s="24" t="n">
        <v>32234</v>
      </c>
      <c r="B42" s="9" t="n">
        <v>17.86</v>
      </c>
      <c r="C42" s="13" t="s">
        <v>78</v>
      </c>
      <c r="D42" s="13"/>
    </row>
    <row r="43" customFormat="false" ht="15" hidden="false" customHeight="false" outlineLevel="0" collapsed="false">
      <c r="A43" s="24" t="n">
        <v>32264</v>
      </c>
      <c r="B43" s="9" t="n">
        <v>17.42</v>
      </c>
      <c r="C43" s="13" t="s">
        <v>78</v>
      </c>
      <c r="D43" s="13"/>
    </row>
    <row r="44" customFormat="false" ht="15" hidden="false" customHeight="false" outlineLevel="0" collapsed="false">
      <c r="A44" s="24" t="n">
        <v>32295</v>
      </c>
      <c r="B44" s="9" t="n">
        <v>16.53</v>
      </c>
      <c r="C44" s="13" t="s">
        <v>78</v>
      </c>
      <c r="D44" s="13"/>
    </row>
    <row r="45" customFormat="false" ht="15" hidden="false" customHeight="false" outlineLevel="0" collapsed="false">
      <c r="A45" s="24" t="n">
        <v>32325</v>
      </c>
      <c r="B45" s="9" t="n">
        <v>15.5</v>
      </c>
      <c r="C45" s="13" t="s">
        <v>78</v>
      </c>
      <c r="D45" s="13"/>
    </row>
    <row r="46" customFormat="false" ht="15" hidden="false" customHeight="false" outlineLevel="0" collapsed="false">
      <c r="A46" s="24" t="n">
        <v>32356</v>
      </c>
      <c r="B46" s="9" t="n">
        <v>15.52</v>
      </c>
      <c r="C46" s="13" t="s">
        <v>78</v>
      </c>
      <c r="D46" s="13"/>
    </row>
    <row r="47" customFormat="false" ht="15" hidden="false" customHeight="false" outlineLevel="0" collapsed="false">
      <c r="A47" s="24" t="n">
        <v>32387</v>
      </c>
      <c r="B47" s="9" t="n">
        <v>14.54</v>
      </c>
      <c r="C47" s="13" t="s">
        <v>78</v>
      </c>
      <c r="D47" s="13"/>
    </row>
    <row r="48" customFormat="false" ht="15" hidden="false" customHeight="false" outlineLevel="0" collapsed="false">
      <c r="A48" s="24" t="n">
        <v>32417</v>
      </c>
      <c r="B48" s="9" t="n">
        <v>13.77</v>
      </c>
      <c r="C48" s="13" t="s">
        <v>78</v>
      </c>
      <c r="D48" s="13"/>
    </row>
    <row r="49" customFormat="false" ht="15" hidden="false" customHeight="false" outlineLevel="0" collapsed="false">
      <c r="A49" s="24" t="n">
        <v>32448</v>
      </c>
      <c r="B49" s="9" t="n">
        <v>14.14</v>
      </c>
      <c r="C49" s="13" t="s">
        <v>78</v>
      </c>
      <c r="D49" s="13"/>
    </row>
    <row r="50" customFormat="false" ht="15" hidden="false" customHeight="false" outlineLevel="0" collapsed="false">
      <c r="A50" s="24" t="n">
        <v>32478</v>
      </c>
      <c r="B50" s="9" t="n">
        <v>16.38</v>
      </c>
      <c r="C50" s="13" t="s">
        <v>78</v>
      </c>
      <c r="D50" s="13"/>
    </row>
    <row r="51" customFormat="false" ht="15" hidden="false" customHeight="false" outlineLevel="0" collapsed="false">
      <c r="A51" s="24" t="n">
        <v>32509</v>
      </c>
      <c r="B51" s="9" t="n">
        <v>18.02</v>
      </c>
      <c r="C51" s="13" t="s">
        <v>78</v>
      </c>
      <c r="D51" s="13"/>
    </row>
    <row r="52" customFormat="false" ht="15" hidden="false" customHeight="false" outlineLevel="0" collapsed="false">
      <c r="A52" s="24" t="n">
        <v>32540</v>
      </c>
      <c r="B52" s="9" t="n">
        <v>17.94</v>
      </c>
      <c r="C52" s="13" t="s">
        <v>78</v>
      </c>
      <c r="D52" s="13"/>
    </row>
    <row r="53" customFormat="false" ht="15" hidden="false" customHeight="false" outlineLevel="0" collapsed="false">
      <c r="A53" s="24" t="n">
        <v>32568</v>
      </c>
      <c r="B53" s="9" t="n">
        <v>19.48</v>
      </c>
      <c r="C53" s="13" t="s">
        <v>78</v>
      </c>
      <c r="D53" s="13"/>
    </row>
    <row r="54" customFormat="false" ht="15" hidden="false" customHeight="false" outlineLevel="0" collapsed="false">
      <c r="A54" s="24" t="n">
        <v>32599</v>
      </c>
      <c r="B54" s="9" t="n">
        <v>21.07</v>
      </c>
      <c r="C54" s="13" t="s">
        <v>78</v>
      </c>
      <c r="D54" s="13"/>
    </row>
    <row r="55" customFormat="false" ht="15" hidden="false" customHeight="false" outlineLevel="0" collapsed="false">
      <c r="A55" s="24" t="n">
        <v>32629</v>
      </c>
      <c r="B55" s="9" t="n">
        <v>20.12</v>
      </c>
      <c r="C55" s="13" t="s">
        <v>78</v>
      </c>
      <c r="D55" s="13"/>
    </row>
    <row r="56" customFormat="false" ht="15" hidden="false" customHeight="false" outlineLevel="0" collapsed="false">
      <c r="A56" s="24" t="n">
        <v>32660</v>
      </c>
      <c r="B56" s="9" t="n">
        <v>20.05</v>
      </c>
      <c r="C56" s="13" t="s">
        <v>78</v>
      </c>
      <c r="D56" s="13"/>
    </row>
    <row r="57" customFormat="false" ht="15" hidden="false" customHeight="false" outlineLevel="0" collapsed="false">
      <c r="A57" s="24" t="n">
        <v>32690</v>
      </c>
      <c r="B57" s="9" t="n">
        <v>19.78</v>
      </c>
      <c r="C57" s="13" t="s">
        <v>78</v>
      </c>
      <c r="D57" s="13"/>
    </row>
    <row r="58" customFormat="false" ht="15" hidden="false" customHeight="false" outlineLevel="0" collapsed="false">
      <c r="A58" s="24" t="n">
        <v>32721</v>
      </c>
      <c r="B58" s="9" t="n">
        <v>18.58</v>
      </c>
      <c r="C58" s="13" t="s">
        <v>78</v>
      </c>
      <c r="D58" s="13"/>
    </row>
    <row r="59" customFormat="false" ht="15" hidden="false" customHeight="false" outlineLevel="0" collapsed="false">
      <c r="A59" s="24" t="n">
        <v>32752</v>
      </c>
      <c r="B59" s="9" t="n">
        <v>19.59</v>
      </c>
      <c r="C59" s="13" t="s">
        <v>78</v>
      </c>
      <c r="D59" s="13"/>
    </row>
    <row r="60" customFormat="false" ht="15" hidden="false" customHeight="false" outlineLevel="0" collapsed="false">
      <c r="A60" s="24" t="n">
        <v>32782</v>
      </c>
      <c r="B60" s="9" t="n">
        <v>20.1</v>
      </c>
      <c r="C60" s="13" t="s">
        <v>78</v>
      </c>
      <c r="D60" s="13"/>
    </row>
    <row r="61" customFormat="false" ht="15" hidden="false" customHeight="false" outlineLevel="0" collapsed="false">
      <c r="A61" s="24" t="n">
        <v>32813</v>
      </c>
      <c r="B61" s="9" t="n">
        <v>19.86</v>
      </c>
      <c r="C61" s="13" t="s">
        <v>78</v>
      </c>
      <c r="D61" s="13"/>
    </row>
    <row r="62" customFormat="false" ht="15" hidden="false" customHeight="false" outlineLevel="0" collapsed="false">
      <c r="A62" s="24" t="n">
        <v>32843</v>
      </c>
      <c r="B62" s="9" t="n">
        <v>21.1</v>
      </c>
      <c r="C62" s="13" t="s">
        <v>78</v>
      </c>
      <c r="D62" s="13"/>
    </row>
    <row r="63" customFormat="false" ht="15" hidden="false" customHeight="false" outlineLevel="0" collapsed="false">
      <c r="A63" s="24" t="n">
        <v>32874</v>
      </c>
      <c r="B63" s="9" t="n">
        <v>22.86</v>
      </c>
      <c r="C63" s="13" t="s">
        <v>78</v>
      </c>
      <c r="D63" s="13"/>
    </row>
    <row r="64" customFormat="false" ht="15" hidden="false" customHeight="false" outlineLevel="0" collapsed="false">
      <c r="A64" s="24" t="n">
        <v>32905</v>
      </c>
      <c r="B64" s="9" t="n">
        <v>22.11</v>
      </c>
      <c r="C64" s="13" t="s">
        <v>78</v>
      </c>
      <c r="D64" s="13"/>
    </row>
    <row r="65" customFormat="false" ht="15" hidden="false" customHeight="false" outlineLevel="0" collapsed="false">
      <c r="A65" s="24" t="n">
        <v>32933</v>
      </c>
      <c r="B65" s="9" t="n">
        <v>20.39</v>
      </c>
      <c r="C65" s="13" t="s">
        <v>78</v>
      </c>
      <c r="D65" s="13"/>
    </row>
    <row r="66" customFormat="false" ht="15" hidden="false" customHeight="false" outlineLevel="0" collapsed="false">
      <c r="A66" s="24" t="n">
        <v>32964</v>
      </c>
      <c r="B66" s="9" t="n">
        <v>18.43</v>
      </c>
      <c r="C66" s="13" t="s">
        <v>78</v>
      </c>
      <c r="D66" s="13"/>
    </row>
    <row r="67" customFormat="false" ht="15" hidden="false" customHeight="false" outlineLevel="0" collapsed="false">
      <c r="A67" s="24" t="n">
        <v>32994</v>
      </c>
      <c r="B67" s="9" t="n">
        <v>18.2</v>
      </c>
      <c r="C67" s="13" t="s">
        <v>78</v>
      </c>
      <c r="D67" s="13"/>
    </row>
    <row r="68" customFormat="false" ht="15" hidden="false" customHeight="false" outlineLevel="0" collapsed="false">
      <c r="A68" s="24" t="n">
        <v>33025</v>
      </c>
      <c r="B68" s="9" t="n">
        <v>16.7</v>
      </c>
      <c r="C68" s="13" t="s">
        <v>78</v>
      </c>
      <c r="D68" s="13"/>
    </row>
    <row r="69" customFormat="false" ht="15" hidden="false" customHeight="false" outlineLevel="0" collapsed="false">
      <c r="A69" s="24" t="n">
        <v>33055</v>
      </c>
      <c r="B69" s="9" t="n">
        <v>18.45</v>
      </c>
      <c r="C69" s="13" t="s">
        <v>78</v>
      </c>
      <c r="D69" s="13"/>
    </row>
    <row r="70" customFormat="false" ht="15" hidden="false" customHeight="false" outlineLevel="0" collapsed="false">
      <c r="A70" s="24" t="n">
        <v>33086</v>
      </c>
      <c r="B70" s="9" t="n">
        <v>27.31</v>
      </c>
      <c r="C70" s="13" t="s">
        <v>78</v>
      </c>
      <c r="D70" s="13"/>
    </row>
    <row r="71" customFormat="false" ht="15" hidden="false" customHeight="false" outlineLevel="0" collapsed="false">
      <c r="A71" s="24" t="n">
        <v>33117</v>
      </c>
      <c r="B71" s="9" t="n">
        <v>33.51</v>
      </c>
      <c r="C71" s="13" t="s">
        <v>78</v>
      </c>
      <c r="D71" s="13"/>
    </row>
    <row r="72" customFormat="false" ht="15" hidden="false" customHeight="false" outlineLevel="0" collapsed="false">
      <c r="A72" s="24" t="n">
        <v>33147</v>
      </c>
      <c r="B72" s="9" t="n">
        <v>36.04</v>
      </c>
      <c r="C72" s="13" t="s">
        <v>78</v>
      </c>
      <c r="D72" s="13"/>
    </row>
    <row r="73" customFormat="false" ht="15" hidden="false" customHeight="false" outlineLevel="0" collapsed="false">
      <c r="A73" s="24" t="n">
        <v>33178</v>
      </c>
      <c r="B73" s="9" t="n">
        <v>32.33</v>
      </c>
      <c r="C73" s="13" t="s">
        <v>78</v>
      </c>
      <c r="D73" s="13"/>
    </row>
    <row r="74" customFormat="false" ht="15" hidden="false" customHeight="false" outlineLevel="0" collapsed="false">
      <c r="A74" s="24" t="n">
        <v>33208</v>
      </c>
      <c r="B74" s="9" t="n">
        <v>27.28</v>
      </c>
      <c r="C74" s="13" t="s">
        <v>78</v>
      </c>
      <c r="D74" s="13"/>
    </row>
    <row r="75" customFormat="false" ht="15" hidden="false" customHeight="false" outlineLevel="0" collapsed="false">
      <c r="A75" s="24" t="n">
        <v>33239</v>
      </c>
      <c r="B75" s="9" t="n">
        <v>25.23</v>
      </c>
      <c r="C75" s="13" t="s">
        <v>78</v>
      </c>
      <c r="D75" s="13"/>
    </row>
    <row r="76" customFormat="false" ht="15" hidden="false" customHeight="false" outlineLevel="0" collapsed="false">
      <c r="A76" s="24" t="n">
        <v>33270</v>
      </c>
      <c r="B76" s="9" t="n">
        <v>20.48</v>
      </c>
      <c r="C76" s="13" t="s">
        <v>78</v>
      </c>
      <c r="D76" s="13"/>
    </row>
    <row r="77" customFormat="false" ht="15" hidden="false" customHeight="false" outlineLevel="0" collapsed="false">
      <c r="A77" s="24" t="n">
        <v>33298</v>
      </c>
      <c r="B77" s="9" t="n">
        <v>19.9</v>
      </c>
      <c r="C77" s="13" t="s">
        <v>78</v>
      </c>
      <c r="D77" s="13"/>
    </row>
    <row r="78" customFormat="false" ht="15" hidden="false" customHeight="false" outlineLevel="0" collapsed="false">
      <c r="A78" s="24" t="n">
        <v>33329</v>
      </c>
      <c r="B78" s="9" t="n">
        <v>20.83</v>
      </c>
      <c r="C78" s="13" t="s">
        <v>78</v>
      </c>
      <c r="D78" s="13"/>
    </row>
    <row r="79" customFormat="false" ht="15" hidden="false" customHeight="false" outlineLevel="0" collapsed="false">
      <c r="A79" s="24" t="n">
        <v>33359</v>
      </c>
      <c r="B79" s="9" t="n">
        <v>21.23</v>
      </c>
      <c r="C79" s="13" t="s">
        <v>78</v>
      </c>
      <c r="D79" s="13"/>
    </row>
    <row r="80" customFormat="false" ht="15" hidden="false" customHeight="false" outlineLevel="0" collapsed="false">
      <c r="A80" s="24" t="n">
        <v>33390</v>
      </c>
      <c r="B80" s="9" t="n">
        <v>20.19</v>
      </c>
      <c r="C80" s="13" t="s">
        <v>78</v>
      </c>
      <c r="D80" s="13"/>
    </row>
    <row r="81" customFormat="false" ht="15" hidden="false" customHeight="false" outlineLevel="0" collapsed="false">
      <c r="A81" s="24" t="n">
        <v>33420</v>
      </c>
      <c r="B81" s="9" t="n">
        <v>21.4</v>
      </c>
      <c r="C81" s="13" t="s">
        <v>78</v>
      </c>
      <c r="D81" s="13"/>
    </row>
    <row r="82" customFormat="false" ht="15" hidden="false" customHeight="false" outlineLevel="0" collapsed="false">
      <c r="A82" s="24" t="n">
        <v>33451</v>
      </c>
      <c r="B82" s="9" t="n">
        <v>21.69</v>
      </c>
      <c r="C82" s="13" t="s">
        <v>78</v>
      </c>
      <c r="D82" s="13"/>
    </row>
    <row r="83" customFormat="false" ht="15" hidden="false" customHeight="false" outlineLevel="0" collapsed="false">
      <c r="A83" s="24" t="n">
        <v>33482</v>
      </c>
      <c r="B83" s="9" t="n">
        <v>21.89</v>
      </c>
      <c r="C83" s="13" t="s">
        <v>78</v>
      </c>
      <c r="D83" s="13"/>
    </row>
    <row r="84" customFormat="false" ht="15" hidden="false" customHeight="false" outlineLevel="0" collapsed="false">
      <c r="A84" s="24" t="n">
        <v>33512</v>
      </c>
      <c r="B84" s="9" t="n">
        <v>23.23</v>
      </c>
      <c r="C84" s="13" t="s">
        <v>78</v>
      </c>
      <c r="D84" s="13"/>
    </row>
    <row r="85" customFormat="false" ht="15" hidden="false" customHeight="false" outlineLevel="0" collapsed="false">
      <c r="A85" s="24" t="n">
        <v>33543</v>
      </c>
      <c r="B85" s="9" t="n">
        <v>22.46</v>
      </c>
      <c r="C85" s="13" t="s">
        <v>78</v>
      </c>
      <c r="D85" s="13"/>
    </row>
    <row r="86" customFormat="false" ht="15" hidden="false" customHeight="false" outlineLevel="0" collapsed="false">
      <c r="A86" s="24" t="n">
        <v>33573</v>
      </c>
      <c r="B86" s="9" t="n">
        <v>19.5</v>
      </c>
      <c r="C86" s="13" t="s">
        <v>78</v>
      </c>
      <c r="D86" s="13"/>
    </row>
    <row r="87" customFormat="false" ht="15" hidden="false" customHeight="false" outlineLevel="0" collapsed="false">
      <c r="A87" s="24" t="n">
        <v>33604</v>
      </c>
      <c r="B87" s="9" t="n">
        <v>18.79</v>
      </c>
      <c r="C87" s="13" t="s">
        <v>78</v>
      </c>
      <c r="D87" s="13"/>
    </row>
    <row r="88" customFormat="false" ht="15" hidden="false" customHeight="false" outlineLevel="0" collapsed="false">
      <c r="A88" s="24" t="n">
        <v>33635</v>
      </c>
      <c r="B88" s="9" t="n">
        <v>19.01</v>
      </c>
      <c r="C88" s="13" t="s">
        <v>78</v>
      </c>
      <c r="D88" s="13"/>
    </row>
    <row r="89" customFormat="false" ht="15" hidden="false" customHeight="false" outlineLevel="0" collapsed="false">
      <c r="A89" s="24" t="n">
        <v>33664</v>
      </c>
      <c r="B89" s="9" t="n">
        <v>18.92</v>
      </c>
      <c r="C89" s="13" t="s">
        <v>78</v>
      </c>
      <c r="D89" s="13"/>
    </row>
    <row r="90" customFormat="false" ht="15" hidden="false" customHeight="false" outlineLevel="0" collapsed="false">
      <c r="A90" s="24" t="n">
        <v>33695</v>
      </c>
      <c r="B90" s="9" t="n">
        <v>20.23</v>
      </c>
      <c r="C90" s="13" t="s">
        <v>78</v>
      </c>
      <c r="D90" s="13"/>
    </row>
    <row r="91" customFormat="false" ht="15" hidden="false" customHeight="false" outlineLevel="0" collapsed="false">
      <c r="A91" s="24" t="n">
        <v>33725</v>
      </c>
      <c r="B91" s="9" t="n">
        <v>20.98</v>
      </c>
      <c r="C91" s="13" t="s">
        <v>78</v>
      </c>
      <c r="D91" s="13"/>
    </row>
    <row r="92" customFormat="false" ht="15" hidden="false" customHeight="false" outlineLevel="0" collapsed="false">
      <c r="A92" s="24" t="n">
        <v>33756</v>
      </c>
      <c r="B92" s="9" t="n">
        <v>22.39</v>
      </c>
      <c r="C92" s="13" t="s">
        <v>78</v>
      </c>
      <c r="D92" s="13"/>
    </row>
    <row r="93" customFormat="false" ht="15" hidden="false" customHeight="false" outlineLevel="0" collapsed="false">
      <c r="A93" s="24" t="n">
        <v>33786</v>
      </c>
      <c r="B93" s="9" t="n">
        <v>21.78</v>
      </c>
      <c r="C93" s="13" t="s">
        <v>78</v>
      </c>
      <c r="D93" s="13"/>
    </row>
    <row r="94" customFormat="false" ht="15" hidden="false" customHeight="false" outlineLevel="0" collapsed="false">
      <c r="A94" s="24" t="n">
        <v>33817</v>
      </c>
      <c r="B94" s="9" t="n">
        <v>21.34</v>
      </c>
      <c r="C94" s="13" t="s">
        <v>78</v>
      </c>
      <c r="D94" s="13"/>
    </row>
    <row r="95" customFormat="false" ht="15" hidden="false" customHeight="false" outlineLevel="0" collapsed="false">
      <c r="A95" s="24" t="n">
        <v>33848</v>
      </c>
      <c r="B95" s="9" t="n">
        <v>21.88</v>
      </c>
      <c r="C95" s="13" t="s">
        <v>78</v>
      </c>
      <c r="D95" s="13"/>
    </row>
    <row r="96" customFormat="false" ht="15" hidden="false" customHeight="false" outlineLevel="0" collapsed="false">
      <c r="A96" s="24" t="n">
        <v>33878</v>
      </c>
      <c r="B96" s="9" t="n">
        <v>21.69</v>
      </c>
      <c r="C96" s="13" t="s">
        <v>78</v>
      </c>
      <c r="D96" s="13"/>
    </row>
    <row r="97" customFormat="false" ht="15" hidden="false" customHeight="false" outlineLevel="0" collapsed="false">
      <c r="A97" s="24" t="n">
        <v>33909</v>
      </c>
      <c r="B97" s="9" t="n">
        <v>20.34</v>
      </c>
      <c r="C97" s="13" t="s">
        <v>78</v>
      </c>
      <c r="D97" s="13"/>
    </row>
    <row r="98" customFormat="false" ht="15" hidden="false" customHeight="false" outlineLevel="0" collapsed="false">
      <c r="A98" s="24" t="n">
        <v>33939</v>
      </c>
      <c r="B98" s="9" t="n">
        <v>19.41</v>
      </c>
      <c r="C98" s="13" t="s">
        <v>78</v>
      </c>
      <c r="D98" s="13"/>
    </row>
    <row r="99" customFormat="false" ht="15" hidden="false" customHeight="false" outlineLevel="0" collapsed="false">
      <c r="A99" s="24" t="n">
        <v>33970</v>
      </c>
      <c r="B99" s="9" t="n">
        <v>19.03</v>
      </c>
      <c r="C99" s="13" t="s">
        <v>78</v>
      </c>
      <c r="D99" s="13"/>
    </row>
    <row r="100" customFormat="false" ht="15" hidden="false" customHeight="false" outlineLevel="0" collapsed="false">
      <c r="A100" s="24" t="n">
        <v>34001</v>
      </c>
      <c r="B100" s="9" t="n">
        <v>20.09</v>
      </c>
      <c r="C100" s="13" t="s">
        <v>78</v>
      </c>
      <c r="D100" s="13"/>
    </row>
    <row r="101" customFormat="false" ht="15" hidden="false" customHeight="false" outlineLevel="0" collapsed="false">
      <c r="A101" s="24" t="n">
        <v>34029</v>
      </c>
      <c r="B101" s="9" t="n">
        <v>20.32</v>
      </c>
      <c r="C101" s="13" t="s">
        <v>78</v>
      </c>
      <c r="D101" s="13"/>
    </row>
    <row r="102" customFormat="false" ht="15" hidden="false" customHeight="false" outlineLevel="0" collapsed="false">
      <c r="A102" s="24" t="n">
        <v>34060</v>
      </c>
      <c r="B102" s="9" t="n">
        <v>20.25</v>
      </c>
      <c r="C102" s="13" t="s">
        <v>78</v>
      </c>
      <c r="D102" s="13"/>
    </row>
    <row r="103" customFormat="false" ht="15" hidden="false" customHeight="false" outlineLevel="0" collapsed="false">
      <c r="A103" s="24" t="n">
        <v>34090</v>
      </c>
      <c r="B103" s="9" t="n">
        <v>19.95</v>
      </c>
      <c r="C103" s="13" t="s">
        <v>78</v>
      </c>
      <c r="D103" s="13"/>
    </row>
    <row r="104" customFormat="false" ht="15" hidden="false" customHeight="false" outlineLevel="0" collapsed="false">
      <c r="A104" s="24" t="n">
        <v>34121</v>
      </c>
      <c r="B104" s="9" t="n">
        <v>19.09</v>
      </c>
      <c r="C104" s="13" t="s">
        <v>78</v>
      </c>
      <c r="D104" s="13"/>
    </row>
    <row r="105" customFormat="false" ht="15" hidden="false" customHeight="false" outlineLevel="0" collapsed="false">
      <c r="A105" s="24" t="n">
        <v>34151</v>
      </c>
      <c r="B105" s="9" t="n">
        <v>17.89</v>
      </c>
      <c r="C105" s="13" t="s">
        <v>78</v>
      </c>
      <c r="D105" s="13"/>
    </row>
    <row r="106" customFormat="false" ht="15" hidden="false" customHeight="false" outlineLevel="0" collapsed="false">
      <c r="A106" s="24" t="n">
        <v>34182</v>
      </c>
      <c r="B106" s="9" t="n">
        <v>18.01</v>
      </c>
      <c r="C106" s="13" t="s">
        <v>78</v>
      </c>
      <c r="D106" s="13"/>
    </row>
    <row r="107" customFormat="false" ht="15" hidden="false" customHeight="false" outlineLevel="0" collapsed="false">
      <c r="A107" s="24" t="n">
        <v>34213</v>
      </c>
      <c r="B107" s="9" t="n">
        <v>17.5</v>
      </c>
      <c r="C107" s="13" t="s">
        <v>78</v>
      </c>
      <c r="D107" s="13"/>
    </row>
    <row r="108" customFormat="false" ht="15" hidden="false" customHeight="false" outlineLevel="0" collapsed="false">
      <c r="A108" s="24" t="n">
        <v>34243</v>
      </c>
      <c r="B108" s="9" t="n">
        <v>18.15</v>
      </c>
      <c r="C108" s="13" t="s">
        <v>78</v>
      </c>
      <c r="D108" s="13"/>
    </row>
    <row r="109" customFormat="false" ht="15" hidden="false" customHeight="false" outlineLevel="0" collapsed="false">
      <c r="A109" s="24" t="n">
        <v>34274</v>
      </c>
      <c r="B109" s="9" t="n">
        <v>16.61</v>
      </c>
      <c r="C109" s="13" t="s">
        <v>78</v>
      </c>
      <c r="D109" s="13"/>
    </row>
    <row r="110" customFormat="false" ht="15" hidden="false" customHeight="false" outlineLevel="0" collapsed="false">
      <c r="A110" s="24" t="n">
        <v>34304</v>
      </c>
      <c r="B110" s="9" t="n">
        <v>14.52</v>
      </c>
      <c r="C110" s="13" t="s">
        <v>78</v>
      </c>
      <c r="D110" s="13"/>
    </row>
    <row r="111" customFormat="false" ht="15" hidden="false" customHeight="false" outlineLevel="0" collapsed="false">
      <c r="A111" s="24" t="n">
        <v>34335</v>
      </c>
      <c r="B111" s="9" t="n">
        <v>15.03</v>
      </c>
      <c r="C111" s="13" t="s">
        <v>78</v>
      </c>
      <c r="D111" s="13"/>
    </row>
    <row r="112" customFormat="false" ht="15" hidden="false" customHeight="false" outlineLevel="0" collapsed="false">
      <c r="A112" s="24" t="n">
        <v>34366</v>
      </c>
      <c r="B112" s="9" t="n">
        <v>14.78</v>
      </c>
      <c r="C112" s="13" t="s">
        <v>78</v>
      </c>
      <c r="D112" s="13"/>
    </row>
    <row r="113" customFormat="false" ht="15" hidden="false" customHeight="false" outlineLevel="0" collapsed="false">
      <c r="A113" s="24" t="n">
        <v>34394</v>
      </c>
      <c r="B113" s="9" t="n">
        <v>14.68</v>
      </c>
      <c r="C113" s="13" t="s">
        <v>78</v>
      </c>
      <c r="D113" s="13"/>
    </row>
    <row r="114" customFormat="false" ht="15" hidden="false" customHeight="false" outlineLevel="0" collapsed="false">
      <c r="A114" s="24" t="n">
        <v>34425</v>
      </c>
      <c r="B114" s="9" t="n">
        <v>16.42</v>
      </c>
      <c r="C114" s="13" t="s">
        <v>78</v>
      </c>
      <c r="D114" s="13"/>
    </row>
    <row r="115" customFormat="false" ht="15" hidden="false" customHeight="false" outlineLevel="0" collapsed="false">
      <c r="A115" s="24" t="n">
        <v>34455</v>
      </c>
      <c r="B115" s="9" t="n">
        <v>17.89</v>
      </c>
      <c r="C115" s="13" t="s">
        <v>78</v>
      </c>
      <c r="D115" s="13"/>
    </row>
    <row r="116" customFormat="false" ht="15" hidden="false" customHeight="false" outlineLevel="0" collapsed="false">
      <c r="A116" s="24" t="n">
        <v>34486</v>
      </c>
      <c r="B116" s="9" t="n">
        <v>19.06</v>
      </c>
      <c r="C116" s="13" t="s">
        <v>78</v>
      </c>
      <c r="D116" s="13"/>
    </row>
    <row r="117" customFormat="false" ht="15" hidden="false" customHeight="false" outlineLevel="0" collapsed="false">
      <c r="A117" s="24" t="n">
        <v>34516</v>
      </c>
      <c r="B117" s="9" t="n">
        <v>19.66</v>
      </c>
      <c r="C117" s="13" t="s">
        <v>78</v>
      </c>
      <c r="D117" s="13"/>
    </row>
    <row r="118" customFormat="false" ht="15" hidden="false" customHeight="false" outlineLevel="0" collapsed="false">
      <c r="A118" s="24" t="n">
        <v>34547</v>
      </c>
      <c r="B118" s="9" t="n">
        <v>18.38</v>
      </c>
      <c r="C118" s="13" t="s">
        <v>78</v>
      </c>
      <c r="D118" s="13"/>
    </row>
    <row r="119" customFormat="false" ht="15" hidden="false" customHeight="false" outlineLevel="0" collapsed="false">
      <c r="A119" s="24" t="n">
        <v>34578</v>
      </c>
      <c r="B119" s="9" t="n">
        <v>17.45</v>
      </c>
      <c r="C119" s="13" t="s">
        <v>78</v>
      </c>
      <c r="D119" s="13"/>
    </row>
    <row r="120" customFormat="false" ht="15" hidden="false" customHeight="false" outlineLevel="0" collapsed="false">
      <c r="A120" s="24" t="n">
        <v>34608</v>
      </c>
      <c r="B120" s="9" t="n">
        <v>17.72</v>
      </c>
      <c r="C120" s="13" t="s">
        <v>78</v>
      </c>
      <c r="D120" s="13"/>
    </row>
    <row r="121" customFormat="false" ht="15" hidden="false" customHeight="false" outlineLevel="0" collapsed="false">
      <c r="A121" s="24" t="n">
        <v>34639</v>
      </c>
      <c r="B121" s="9" t="n">
        <v>18.07</v>
      </c>
      <c r="C121" s="13" t="s">
        <v>78</v>
      </c>
      <c r="D121" s="13"/>
    </row>
    <row r="122" customFormat="false" ht="15" hidden="false" customHeight="false" outlineLevel="0" collapsed="false">
      <c r="A122" s="24" t="n">
        <v>34669</v>
      </c>
      <c r="B122" s="9" t="n">
        <v>17.16</v>
      </c>
      <c r="C122" s="13" t="s">
        <v>78</v>
      </c>
      <c r="D122" s="13"/>
    </row>
    <row r="123" customFormat="false" ht="15" hidden="false" customHeight="false" outlineLevel="0" collapsed="false">
      <c r="A123" s="24" t="n">
        <v>34700</v>
      </c>
      <c r="B123" s="9" t="n">
        <v>18.04</v>
      </c>
      <c r="C123" s="13" t="s">
        <v>78</v>
      </c>
      <c r="D123" s="13"/>
    </row>
    <row r="124" customFormat="false" ht="15" hidden="false" customHeight="false" outlineLevel="0" collapsed="false">
      <c r="A124" s="24" t="n">
        <v>34731</v>
      </c>
      <c r="B124" s="9" t="n">
        <v>18.57</v>
      </c>
      <c r="C124" s="13" t="s">
        <v>78</v>
      </c>
      <c r="D124" s="13"/>
    </row>
    <row r="125" customFormat="false" ht="15" hidden="false" customHeight="false" outlineLevel="0" collapsed="false">
      <c r="A125" s="24" t="n">
        <v>34759</v>
      </c>
      <c r="B125" s="9" t="n">
        <v>18.54</v>
      </c>
      <c r="C125" s="13" t="s">
        <v>78</v>
      </c>
      <c r="D125" s="13"/>
    </row>
    <row r="126" customFormat="false" ht="15" hidden="false" customHeight="false" outlineLevel="0" collapsed="false">
      <c r="A126" s="24" t="n">
        <v>34790</v>
      </c>
      <c r="B126" s="9" t="n">
        <v>19.9</v>
      </c>
      <c r="C126" s="13" t="s">
        <v>78</v>
      </c>
      <c r="D126" s="13"/>
    </row>
    <row r="127" customFormat="false" ht="15" hidden="false" customHeight="false" outlineLevel="0" collapsed="false">
      <c r="A127" s="24" t="n">
        <v>34820</v>
      </c>
      <c r="B127" s="9" t="n">
        <v>19.74</v>
      </c>
      <c r="C127" s="13" t="s">
        <v>78</v>
      </c>
      <c r="D127" s="13"/>
    </row>
    <row r="128" customFormat="false" ht="15" hidden="false" customHeight="false" outlineLevel="0" collapsed="false">
      <c r="A128" s="24" t="n">
        <v>34851</v>
      </c>
      <c r="B128" s="9" t="n">
        <v>18.45</v>
      </c>
      <c r="C128" s="13" t="s">
        <v>78</v>
      </c>
      <c r="D128" s="13"/>
    </row>
    <row r="129" customFormat="false" ht="15" hidden="false" customHeight="false" outlineLevel="0" collapsed="false">
      <c r="A129" s="24" t="n">
        <v>34881</v>
      </c>
      <c r="B129" s="9" t="n">
        <v>17.33</v>
      </c>
      <c r="C129" s="13" t="s">
        <v>78</v>
      </c>
      <c r="D129" s="13"/>
    </row>
    <row r="130" customFormat="false" ht="15" hidden="false" customHeight="false" outlineLevel="0" collapsed="false">
      <c r="A130" s="24" t="n">
        <v>34912</v>
      </c>
      <c r="B130" s="9" t="n">
        <v>18.02</v>
      </c>
      <c r="C130" s="13" t="s">
        <v>78</v>
      </c>
      <c r="D130" s="13"/>
    </row>
    <row r="131" customFormat="false" ht="15" hidden="false" customHeight="false" outlineLevel="0" collapsed="false">
      <c r="A131" s="24" t="n">
        <v>34943</v>
      </c>
      <c r="B131" s="9" t="n">
        <v>18.23</v>
      </c>
      <c r="C131" s="13" t="s">
        <v>78</v>
      </c>
      <c r="D131" s="13"/>
    </row>
    <row r="132" customFormat="false" ht="15" hidden="false" customHeight="false" outlineLevel="0" collapsed="false">
      <c r="A132" s="24" t="n">
        <v>34973</v>
      </c>
      <c r="B132" s="9" t="n">
        <v>17.43</v>
      </c>
      <c r="C132" s="13" t="s">
        <v>78</v>
      </c>
      <c r="D132" s="13"/>
    </row>
    <row r="133" customFormat="false" ht="15" hidden="false" customHeight="false" outlineLevel="0" collapsed="false">
      <c r="A133" s="24" t="n">
        <v>35004</v>
      </c>
      <c r="B133" s="9" t="n">
        <v>17.99</v>
      </c>
      <c r="C133" s="13" t="s">
        <v>78</v>
      </c>
      <c r="D133" s="13"/>
    </row>
    <row r="134" customFormat="false" ht="15" hidden="false" customHeight="false" outlineLevel="0" collapsed="false">
      <c r="A134" s="24" t="n">
        <v>35034</v>
      </c>
      <c r="B134" s="9" t="n">
        <v>19.03</v>
      </c>
      <c r="C134" s="13" t="s">
        <v>78</v>
      </c>
      <c r="D134" s="13"/>
    </row>
    <row r="135" customFormat="false" ht="15" hidden="false" customHeight="false" outlineLevel="0" collapsed="false">
      <c r="A135" s="24" t="n">
        <v>35065</v>
      </c>
      <c r="B135" s="9" t="n">
        <v>18.86</v>
      </c>
      <c r="C135" s="13" t="s">
        <v>78</v>
      </c>
      <c r="D135" s="13"/>
    </row>
    <row r="136" customFormat="false" ht="15" hidden="false" customHeight="false" outlineLevel="0" collapsed="false">
      <c r="A136" s="24" t="n">
        <v>35096</v>
      </c>
      <c r="B136" s="9" t="n">
        <v>19.09</v>
      </c>
      <c r="C136" s="13" t="s">
        <v>78</v>
      </c>
      <c r="D136" s="13"/>
    </row>
    <row r="137" customFormat="false" ht="15" hidden="false" customHeight="false" outlineLevel="0" collapsed="false">
      <c r="A137" s="24" t="n">
        <v>35125</v>
      </c>
      <c r="B137" s="9" t="n">
        <v>21.33</v>
      </c>
      <c r="C137" s="13" t="s">
        <v>78</v>
      </c>
      <c r="D137" s="13"/>
    </row>
    <row r="138" customFormat="false" ht="15" hidden="false" customHeight="false" outlineLevel="0" collapsed="false">
      <c r="A138" s="24" t="n">
        <v>35156</v>
      </c>
      <c r="B138" s="9" t="n">
        <v>23.5</v>
      </c>
      <c r="C138" s="13" t="s">
        <v>78</v>
      </c>
      <c r="D138" s="13"/>
    </row>
    <row r="139" customFormat="false" ht="15" hidden="false" customHeight="false" outlineLevel="0" collapsed="false">
      <c r="A139" s="24" t="n">
        <v>35186</v>
      </c>
      <c r="B139" s="9" t="n">
        <v>21.17</v>
      </c>
      <c r="C139" s="13" t="s">
        <v>78</v>
      </c>
      <c r="D139" s="13"/>
    </row>
    <row r="140" customFormat="false" ht="15" hidden="false" customHeight="false" outlineLevel="0" collapsed="false">
      <c r="A140" s="24" t="n">
        <v>35217</v>
      </c>
      <c r="B140" s="9" t="n">
        <v>20.42</v>
      </c>
      <c r="C140" s="13" t="s">
        <v>78</v>
      </c>
      <c r="D140" s="13"/>
    </row>
    <row r="141" customFormat="false" ht="15" hidden="false" customHeight="false" outlineLevel="0" collapsed="false">
      <c r="A141" s="24" t="n">
        <v>35247</v>
      </c>
      <c r="B141" s="9" t="n">
        <v>21.3</v>
      </c>
      <c r="C141" s="13" t="s">
        <v>78</v>
      </c>
      <c r="D141" s="13"/>
    </row>
    <row r="142" customFormat="false" ht="15" hidden="false" customHeight="false" outlineLevel="0" collapsed="false">
      <c r="A142" s="24" t="n">
        <v>35278</v>
      </c>
      <c r="B142" s="9" t="n">
        <v>21.9</v>
      </c>
      <c r="C142" s="13" t="s">
        <v>78</v>
      </c>
      <c r="D142" s="13"/>
    </row>
    <row r="143" customFormat="false" ht="15" hidden="false" customHeight="false" outlineLevel="0" collapsed="false">
      <c r="A143" s="24" t="n">
        <v>35309</v>
      </c>
      <c r="B143" s="9" t="n">
        <v>23.97</v>
      </c>
      <c r="C143" s="13" t="s">
        <v>78</v>
      </c>
      <c r="D143" s="13"/>
    </row>
    <row r="144" customFormat="false" ht="15" hidden="false" customHeight="false" outlineLevel="0" collapsed="false">
      <c r="A144" s="24" t="n">
        <v>35339</v>
      </c>
      <c r="B144" s="9" t="n">
        <v>24.88</v>
      </c>
      <c r="C144" s="13" t="s">
        <v>78</v>
      </c>
      <c r="D144" s="13"/>
    </row>
    <row r="145" customFormat="false" ht="15" hidden="false" customHeight="false" outlineLevel="0" collapsed="false">
      <c r="A145" s="24" t="n">
        <v>35370</v>
      </c>
      <c r="B145" s="9" t="n">
        <v>23.71</v>
      </c>
      <c r="C145" s="13" t="s">
        <v>78</v>
      </c>
      <c r="D145" s="13"/>
    </row>
    <row r="146" customFormat="false" ht="15" hidden="false" customHeight="false" outlineLevel="0" collapsed="false">
      <c r="A146" s="24" t="n">
        <v>35400</v>
      </c>
      <c r="B146" s="9" t="n">
        <v>25.23</v>
      </c>
      <c r="C146" s="13" t="s">
        <v>78</v>
      </c>
      <c r="D146" s="13"/>
    </row>
    <row r="147" customFormat="false" ht="15" hidden="false" customHeight="false" outlineLevel="0" collapsed="false">
      <c r="A147" s="24" t="n">
        <v>35431</v>
      </c>
      <c r="B147" s="9" t="n">
        <v>25.13</v>
      </c>
      <c r="C147" s="13" t="s">
        <v>78</v>
      </c>
      <c r="D147" s="13"/>
    </row>
    <row r="148" customFormat="false" ht="15" hidden="false" customHeight="false" outlineLevel="0" collapsed="false">
      <c r="A148" s="24" t="n">
        <v>35462</v>
      </c>
      <c r="B148" s="9" t="n">
        <v>22.18</v>
      </c>
      <c r="C148" s="13" t="s">
        <v>78</v>
      </c>
      <c r="D148" s="13"/>
    </row>
    <row r="149" customFormat="false" ht="15" hidden="false" customHeight="false" outlineLevel="0" collapsed="false">
      <c r="A149" s="24" t="n">
        <v>35490</v>
      </c>
      <c r="B149" s="9" t="n">
        <v>20.97</v>
      </c>
      <c r="C149" s="13" t="s">
        <v>78</v>
      </c>
      <c r="D149" s="13"/>
    </row>
    <row r="150" customFormat="false" ht="15" hidden="false" customHeight="false" outlineLevel="0" collapsed="false">
      <c r="A150" s="24" t="n">
        <v>35521</v>
      </c>
      <c r="B150" s="9" t="n">
        <v>19.7</v>
      </c>
      <c r="C150" s="13" t="s">
        <v>78</v>
      </c>
      <c r="D150" s="13"/>
    </row>
    <row r="151" customFormat="false" ht="15" hidden="false" customHeight="false" outlineLevel="0" collapsed="false">
      <c r="A151" s="24" t="n">
        <v>35551</v>
      </c>
      <c r="B151" s="9" t="n">
        <v>20.82</v>
      </c>
      <c r="C151" s="13" t="s">
        <v>78</v>
      </c>
      <c r="D151" s="13"/>
    </row>
    <row r="152" customFormat="false" ht="15" hidden="false" customHeight="false" outlineLevel="0" collapsed="false">
      <c r="A152" s="24" t="n">
        <v>35582</v>
      </c>
      <c r="B152" s="9" t="n">
        <v>19.26</v>
      </c>
      <c r="C152" s="13" t="s">
        <v>78</v>
      </c>
      <c r="D152" s="13"/>
    </row>
    <row r="153" customFormat="false" ht="15" hidden="false" customHeight="false" outlineLevel="0" collapsed="false">
      <c r="A153" s="24" t="n">
        <v>35612</v>
      </c>
      <c r="B153" s="9" t="n">
        <v>19.66</v>
      </c>
      <c r="C153" s="13" t="s">
        <v>78</v>
      </c>
      <c r="D153" s="13"/>
    </row>
    <row r="154" customFormat="false" ht="15" hidden="false" customHeight="false" outlineLevel="0" collapsed="false">
      <c r="A154" s="24" t="n">
        <v>35643</v>
      </c>
      <c r="B154" s="9" t="n">
        <v>19.95</v>
      </c>
      <c r="C154" s="13" t="s">
        <v>78</v>
      </c>
      <c r="D154" s="13"/>
    </row>
    <row r="155" customFormat="false" ht="15" hidden="false" customHeight="false" outlineLevel="0" collapsed="false">
      <c r="A155" s="24" t="n">
        <v>35674</v>
      </c>
      <c r="B155" s="9" t="n">
        <v>19.8</v>
      </c>
      <c r="C155" s="13" t="s">
        <v>78</v>
      </c>
      <c r="D155" s="13"/>
    </row>
    <row r="156" customFormat="false" ht="15" hidden="false" customHeight="false" outlineLevel="0" collapsed="false">
      <c r="A156" s="24" t="n">
        <v>35704</v>
      </c>
      <c r="B156" s="9" t="n">
        <v>21.33</v>
      </c>
      <c r="C156" s="13" t="s">
        <v>78</v>
      </c>
      <c r="D156" s="13"/>
    </row>
    <row r="157" customFormat="false" ht="15" hidden="false" customHeight="false" outlineLevel="0" collapsed="false">
      <c r="A157" s="24" t="n">
        <v>35735</v>
      </c>
      <c r="B157" s="9" t="n">
        <v>20.19</v>
      </c>
      <c r="C157" s="13" t="s">
        <v>78</v>
      </c>
      <c r="D157" s="13"/>
    </row>
    <row r="158" customFormat="false" ht="15" hidden="false" customHeight="false" outlineLevel="0" collapsed="false">
      <c r="A158" s="24" t="n">
        <v>35765</v>
      </c>
      <c r="B158" s="9" t="n">
        <v>18.33</v>
      </c>
      <c r="C158" s="13" t="s">
        <v>78</v>
      </c>
      <c r="D158" s="13"/>
    </row>
    <row r="159" customFormat="false" ht="15" hidden="false" customHeight="false" outlineLevel="0" collapsed="false">
      <c r="A159" s="24" t="n">
        <v>35796</v>
      </c>
      <c r="B159" s="9" t="n">
        <v>16.72</v>
      </c>
      <c r="C159" s="13" t="s">
        <v>78</v>
      </c>
      <c r="D159" s="13"/>
    </row>
    <row r="160" customFormat="false" ht="15" hidden="false" customHeight="false" outlineLevel="0" collapsed="false">
      <c r="A160" s="24" t="n">
        <v>35827</v>
      </c>
      <c r="B160" s="9" t="n">
        <v>16.06</v>
      </c>
      <c r="C160" s="13" t="s">
        <v>78</v>
      </c>
      <c r="D160" s="13"/>
    </row>
    <row r="161" customFormat="false" ht="15" hidden="false" customHeight="false" outlineLevel="0" collapsed="false">
      <c r="A161" s="24" t="n">
        <v>35855</v>
      </c>
      <c r="B161" s="9" t="n">
        <v>15.12</v>
      </c>
      <c r="C161" s="13" t="s">
        <v>78</v>
      </c>
      <c r="D161" s="13"/>
    </row>
    <row r="162" customFormat="false" ht="15" hidden="false" customHeight="false" outlineLevel="0" collapsed="false">
      <c r="A162" s="24" t="n">
        <v>35886</v>
      </c>
      <c r="B162" s="9" t="n">
        <v>15.35</v>
      </c>
      <c r="C162" s="13" t="s">
        <v>78</v>
      </c>
      <c r="D162" s="13"/>
    </row>
    <row r="163" customFormat="false" ht="15" hidden="false" customHeight="false" outlineLevel="0" collapsed="false">
      <c r="A163" s="24" t="n">
        <v>35916</v>
      </c>
      <c r="B163" s="9" t="n">
        <v>14.91</v>
      </c>
      <c r="C163" s="13" t="s">
        <v>78</v>
      </c>
      <c r="D163" s="13"/>
    </row>
    <row r="164" customFormat="false" ht="15" hidden="false" customHeight="false" outlineLevel="0" collapsed="false">
      <c r="A164" s="24" t="n">
        <v>35947</v>
      </c>
      <c r="B164" s="9" t="n">
        <v>13.72</v>
      </c>
      <c r="C164" s="13" t="s">
        <v>78</v>
      </c>
      <c r="D164" s="13"/>
    </row>
    <row r="165" customFormat="false" ht="15" hidden="false" customHeight="false" outlineLevel="0" collapsed="false">
      <c r="A165" s="24" t="n">
        <v>35977</v>
      </c>
      <c r="B165" s="9" t="n">
        <v>14.17</v>
      </c>
      <c r="C165" s="13" t="s">
        <v>78</v>
      </c>
      <c r="D165" s="13"/>
    </row>
    <row r="166" customFormat="false" ht="15" hidden="false" customHeight="false" outlineLevel="0" collapsed="false">
      <c r="A166" s="24" t="n">
        <v>36008</v>
      </c>
      <c r="B166" s="9" t="n">
        <v>13.47</v>
      </c>
      <c r="C166" s="13" t="s">
        <v>78</v>
      </c>
      <c r="D166" s="13"/>
    </row>
    <row r="167" customFormat="false" ht="15" hidden="false" customHeight="false" outlineLevel="0" collapsed="false">
      <c r="A167" s="24" t="n">
        <v>36039</v>
      </c>
      <c r="B167" s="9" t="n">
        <v>15.03</v>
      </c>
      <c r="C167" s="13" t="s">
        <v>78</v>
      </c>
      <c r="D167" s="13"/>
    </row>
    <row r="168" customFormat="false" ht="15" hidden="false" customHeight="false" outlineLevel="0" collapsed="false">
      <c r="A168" s="24" t="n">
        <v>36069</v>
      </c>
      <c r="B168" s="9" t="n">
        <v>14.46</v>
      </c>
      <c r="C168" s="13" t="s">
        <v>78</v>
      </c>
      <c r="D168" s="13"/>
    </row>
    <row r="169" customFormat="false" ht="15" hidden="false" customHeight="false" outlineLevel="0" collapsed="false">
      <c r="A169" s="24" t="n">
        <v>36100</v>
      </c>
      <c r="B169" s="9" t="n">
        <v>13</v>
      </c>
      <c r="C169" s="13" t="s">
        <v>78</v>
      </c>
      <c r="D169" s="13"/>
    </row>
    <row r="170" customFormat="false" ht="15" hidden="false" customHeight="false" outlineLevel="0" collapsed="false">
      <c r="A170" s="24" t="n">
        <v>36130</v>
      </c>
      <c r="B170" s="9" t="n">
        <v>11.35</v>
      </c>
      <c r="C170" s="13" t="s">
        <v>78</v>
      </c>
      <c r="D170" s="13"/>
    </row>
    <row r="171" customFormat="false" ht="15" hidden="false" customHeight="false" outlineLevel="0" collapsed="false">
      <c r="A171" s="24" t="n">
        <v>36161</v>
      </c>
      <c r="B171" s="9" t="n">
        <v>12.52</v>
      </c>
      <c r="C171" s="13" t="s">
        <v>78</v>
      </c>
      <c r="D171" s="13"/>
    </row>
    <row r="172" customFormat="false" ht="15" hidden="false" customHeight="false" outlineLevel="0" collapsed="false">
      <c r="A172" s="24" t="n">
        <v>36192</v>
      </c>
      <c r="B172" s="9" t="n">
        <v>12.01</v>
      </c>
      <c r="C172" s="13" t="s">
        <v>78</v>
      </c>
      <c r="D172" s="13"/>
    </row>
    <row r="173" customFormat="false" ht="15" hidden="false" customHeight="false" outlineLevel="0" collapsed="false">
      <c r="A173" s="24" t="n">
        <v>36220</v>
      </c>
      <c r="B173" s="9" t="n">
        <v>14.68</v>
      </c>
      <c r="C173" s="13" t="s">
        <v>78</v>
      </c>
      <c r="D173" s="13"/>
    </row>
    <row r="174" customFormat="false" ht="15" hidden="false" customHeight="false" outlineLevel="0" collapsed="false">
      <c r="A174" s="24" t="n">
        <v>36251</v>
      </c>
      <c r="B174" s="9" t="n">
        <v>17.31</v>
      </c>
      <c r="C174" s="13" t="s">
        <v>78</v>
      </c>
      <c r="D174" s="13"/>
    </row>
    <row r="175" customFormat="false" ht="15" hidden="false" customHeight="false" outlineLevel="0" collapsed="false">
      <c r="A175" s="24" t="n">
        <v>36281</v>
      </c>
      <c r="B175" s="9" t="n">
        <v>17.72</v>
      </c>
      <c r="C175" s="13" t="s">
        <v>78</v>
      </c>
      <c r="D175" s="13"/>
    </row>
    <row r="176" customFormat="false" ht="15" hidden="false" customHeight="false" outlineLevel="0" collapsed="false">
      <c r="A176" s="24" t="n">
        <v>36312</v>
      </c>
      <c r="B176" s="9" t="n">
        <v>17.92</v>
      </c>
      <c r="C176" s="13" t="s">
        <v>78</v>
      </c>
      <c r="D176" s="13"/>
    </row>
    <row r="177" customFormat="false" ht="15" hidden="false" customHeight="false" outlineLevel="0" collapsed="false">
      <c r="A177" s="24" t="n">
        <v>36342</v>
      </c>
      <c r="B177" s="9" t="n">
        <v>20.1</v>
      </c>
      <c r="C177" s="13" t="s">
        <v>78</v>
      </c>
      <c r="D177" s="13"/>
    </row>
    <row r="178" customFormat="false" ht="15" hidden="false" customHeight="false" outlineLevel="0" collapsed="false">
      <c r="A178" s="24" t="n">
        <v>36373</v>
      </c>
      <c r="B178" s="9" t="n">
        <v>21.28</v>
      </c>
      <c r="C178" s="13" t="s">
        <v>78</v>
      </c>
      <c r="D178" s="13"/>
    </row>
    <row r="179" customFormat="false" ht="15" hidden="false" customHeight="false" outlineLevel="0" collapsed="false">
      <c r="A179" s="24" t="n">
        <v>36404</v>
      </c>
      <c r="B179" s="9" t="n">
        <v>23.8</v>
      </c>
      <c r="C179" s="13" t="s">
        <v>78</v>
      </c>
      <c r="D179" s="13"/>
    </row>
    <row r="180" customFormat="false" ht="15" hidden="false" customHeight="false" outlineLevel="0" collapsed="false">
      <c r="A180" s="24" t="n">
        <v>36434</v>
      </c>
      <c r="B180" s="9" t="n">
        <v>22.69</v>
      </c>
      <c r="C180" s="13" t="s">
        <v>78</v>
      </c>
      <c r="D180" s="13"/>
    </row>
    <row r="181" customFormat="false" ht="15" hidden="false" customHeight="false" outlineLevel="0" collapsed="false">
      <c r="A181" s="24" t="n">
        <v>36465</v>
      </c>
      <c r="B181" s="9" t="n">
        <v>25</v>
      </c>
      <c r="C181" s="13" t="s">
        <v>78</v>
      </c>
      <c r="D181" s="13"/>
    </row>
    <row r="182" customFormat="false" ht="15" hidden="false" customHeight="false" outlineLevel="0" collapsed="false">
      <c r="A182" s="24" t="n">
        <v>36495</v>
      </c>
      <c r="B182" s="9" t="n">
        <v>26.1</v>
      </c>
      <c r="C182" s="13" t="s">
        <v>78</v>
      </c>
      <c r="D182" s="13"/>
    </row>
    <row r="183" customFormat="false" ht="15" hidden="false" customHeight="false" outlineLevel="0" collapsed="false">
      <c r="A183" s="24" t="n">
        <v>36526</v>
      </c>
      <c r="B183" s="9" t="n">
        <v>27.26</v>
      </c>
      <c r="C183" s="13" t="s">
        <v>78</v>
      </c>
      <c r="D183" s="13"/>
    </row>
    <row r="184" customFormat="false" ht="15" hidden="false" customHeight="false" outlineLevel="0" collapsed="false">
      <c r="A184" s="24" t="n">
        <v>36557</v>
      </c>
      <c r="B184" s="9" t="n">
        <v>29.37</v>
      </c>
      <c r="C184" s="13" t="s">
        <v>78</v>
      </c>
      <c r="D184" s="13"/>
    </row>
    <row r="185" customFormat="false" ht="15" hidden="false" customHeight="false" outlineLevel="0" collapsed="false">
      <c r="A185" s="24" t="n">
        <v>36586</v>
      </c>
      <c r="B185" s="9" t="n">
        <v>29.84</v>
      </c>
      <c r="C185" s="13" t="s">
        <v>78</v>
      </c>
      <c r="D185" s="13"/>
    </row>
    <row r="186" customFormat="false" ht="15" hidden="false" customHeight="false" outlineLevel="0" collapsed="false">
      <c r="A186" s="24" t="n">
        <v>36617</v>
      </c>
      <c r="B186" s="9" t="n">
        <v>25.72</v>
      </c>
      <c r="C186" s="13" t="s">
        <v>78</v>
      </c>
      <c r="D186" s="13"/>
    </row>
    <row r="187" customFormat="false" ht="15" hidden="false" customHeight="false" outlineLevel="0" collapsed="false">
      <c r="A187" s="24" t="n">
        <v>36647</v>
      </c>
      <c r="B187" s="9" t="n">
        <v>28.79</v>
      </c>
      <c r="C187" s="13" t="s">
        <v>78</v>
      </c>
      <c r="D187" s="13"/>
    </row>
    <row r="188" customFormat="false" ht="15" hidden="false" customHeight="false" outlineLevel="0" collapsed="false">
      <c r="A188" s="24" t="n">
        <v>36678</v>
      </c>
      <c r="B188" s="9" t="n">
        <v>31.82</v>
      </c>
      <c r="C188" s="13" t="s">
        <v>78</v>
      </c>
      <c r="D188" s="13"/>
    </row>
    <row r="189" customFormat="false" ht="15" hidden="false" customHeight="false" outlineLevel="0" collapsed="false">
      <c r="A189" s="24" t="n">
        <v>36708</v>
      </c>
      <c r="B189" s="9" t="n">
        <v>29.7</v>
      </c>
      <c r="C189" s="13" t="s">
        <v>78</v>
      </c>
      <c r="D189" s="13"/>
    </row>
    <row r="190" customFormat="false" ht="15" hidden="false" customHeight="false" outlineLevel="0" collapsed="false">
      <c r="A190" s="24" t="n">
        <v>36739</v>
      </c>
      <c r="B190" s="9" t="n">
        <v>31.26</v>
      </c>
      <c r="C190" s="13" t="s">
        <v>78</v>
      </c>
      <c r="D190" s="13"/>
    </row>
    <row r="191" customFormat="false" ht="15" hidden="false" customHeight="false" outlineLevel="0" collapsed="false">
      <c r="A191" s="24" t="n">
        <v>36770</v>
      </c>
      <c r="B191" s="9" t="n">
        <v>33.88</v>
      </c>
      <c r="C191" s="13" t="s">
        <v>78</v>
      </c>
      <c r="D191" s="13"/>
    </row>
    <row r="192" customFormat="false" ht="15" hidden="false" customHeight="false" outlineLevel="0" collapsed="false">
      <c r="A192" s="24" t="n">
        <v>36800</v>
      </c>
      <c r="B192" s="9" t="n">
        <v>33.11</v>
      </c>
      <c r="C192" s="13" t="s">
        <v>78</v>
      </c>
      <c r="D192" s="13"/>
    </row>
    <row r="193" customFormat="false" ht="15" hidden="false" customHeight="false" outlineLevel="0" collapsed="false">
      <c r="A193" s="24" t="n">
        <v>36831</v>
      </c>
      <c r="B193" s="9" t="n">
        <v>34.42</v>
      </c>
      <c r="C193" s="13" t="s">
        <v>78</v>
      </c>
      <c r="D193" s="13"/>
    </row>
    <row r="194" customFormat="false" ht="15" hidden="false" customHeight="false" outlineLevel="0" collapsed="false">
      <c r="A194" s="24" t="n">
        <v>36861</v>
      </c>
      <c r="B194" s="9" t="n">
        <v>28.44</v>
      </c>
      <c r="C194" s="13" t="s">
        <v>78</v>
      </c>
      <c r="D194" s="13"/>
    </row>
    <row r="195" customFormat="false" ht="15" hidden="false" customHeight="false" outlineLevel="0" collapsed="false">
      <c r="A195" s="24" t="n">
        <v>36892</v>
      </c>
      <c r="B195" s="9" t="n">
        <v>29.59</v>
      </c>
      <c r="C195" s="13" t="s">
        <v>78</v>
      </c>
      <c r="D195" s="13"/>
    </row>
    <row r="196" customFormat="false" ht="15" hidden="false" customHeight="false" outlineLevel="0" collapsed="false">
      <c r="A196" s="24" t="n">
        <v>36923</v>
      </c>
      <c r="B196" s="9" t="n">
        <v>29.61</v>
      </c>
      <c r="C196" s="13" t="s">
        <v>78</v>
      </c>
      <c r="D196" s="13"/>
    </row>
    <row r="197" customFormat="false" ht="15" hidden="false" customHeight="false" outlineLevel="0" collapsed="false">
      <c r="A197" s="24" t="n">
        <v>36951</v>
      </c>
      <c r="B197" s="9" t="n">
        <v>27.25</v>
      </c>
      <c r="C197" s="13" t="s">
        <v>78</v>
      </c>
      <c r="D197" s="13"/>
    </row>
    <row r="198" customFormat="false" ht="15" hidden="false" customHeight="false" outlineLevel="0" collapsed="false">
      <c r="A198" s="24" t="n">
        <v>36982</v>
      </c>
      <c r="B198" s="9" t="n">
        <v>27.49</v>
      </c>
      <c r="C198" s="13" t="s">
        <v>78</v>
      </c>
      <c r="D198" s="13"/>
    </row>
    <row r="199" customFormat="false" ht="15" hidden="false" customHeight="false" outlineLevel="0" collapsed="false">
      <c r="A199" s="24" t="n">
        <v>37012</v>
      </c>
      <c r="B199" s="9" t="n">
        <v>28.63</v>
      </c>
      <c r="C199" s="13" t="s">
        <v>78</v>
      </c>
      <c r="D199" s="13"/>
    </row>
    <row r="200" customFormat="false" ht="15" hidden="false" customHeight="false" outlineLevel="0" collapsed="false">
      <c r="A200" s="24" t="n">
        <v>37043</v>
      </c>
      <c r="B200" s="9" t="n">
        <v>27.6</v>
      </c>
      <c r="C200" s="13" t="s">
        <v>78</v>
      </c>
      <c r="D200" s="13"/>
    </row>
    <row r="201" customFormat="false" ht="15" hidden="false" customHeight="false" outlineLevel="0" collapsed="false">
      <c r="A201" s="24" t="n">
        <v>37073</v>
      </c>
      <c r="B201" s="9" t="n">
        <v>26.43</v>
      </c>
      <c r="C201" s="13" t="s">
        <v>78</v>
      </c>
      <c r="D201" s="13"/>
    </row>
    <row r="202" customFormat="false" ht="15" hidden="false" customHeight="false" outlineLevel="0" collapsed="false">
      <c r="A202" s="24" t="n">
        <v>37104</v>
      </c>
      <c r="B202" s="9" t="n">
        <v>27.37</v>
      </c>
      <c r="C202" s="13" t="s">
        <v>78</v>
      </c>
      <c r="D202" s="13"/>
    </row>
    <row r="203" customFormat="false" ht="15" hidden="false" customHeight="false" outlineLevel="0" collapsed="false">
      <c r="A203" s="24" t="n">
        <v>37135</v>
      </c>
      <c r="B203" s="9" t="n">
        <v>26.2</v>
      </c>
      <c r="C203" s="13" t="s">
        <v>78</v>
      </c>
      <c r="D203" s="13"/>
    </row>
    <row r="204" customFormat="false" ht="15" hidden="false" customHeight="false" outlineLevel="0" collapsed="false">
      <c r="A204" s="24" t="n">
        <v>37165</v>
      </c>
      <c r="B204" s="9" t="n">
        <v>22.17</v>
      </c>
      <c r="C204" s="13" t="s">
        <v>78</v>
      </c>
      <c r="D204" s="13"/>
    </row>
    <row r="205" customFormat="false" ht="15" hidden="false" customHeight="false" outlineLevel="0" collapsed="false">
      <c r="A205" s="24" t="n">
        <v>37196</v>
      </c>
      <c r="B205" s="9" t="n">
        <v>19.64</v>
      </c>
      <c r="C205" s="13" t="s">
        <v>78</v>
      </c>
      <c r="D205" s="13"/>
    </row>
    <row r="206" customFormat="false" ht="15" hidden="false" customHeight="false" outlineLevel="0" collapsed="false">
      <c r="A206" s="24" t="n">
        <v>37226</v>
      </c>
      <c r="B206" s="9" t="n">
        <v>19.39</v>
      </c>
      <c r="C206" s="13" t="s">
        <v>78</v>
      </c>
      <c r="D206" s="13"/>
    </row>
    <row r="207" customFormat="false" ht="15" hidden="false" customHeight="false" outlineLevel="0" collapsed="false">
      <c r="A207" s="24" t="n">
        <v>37257</v>
      </c>
      <c r="B207" s="9" t="n">
        <v>19.72</v>
      </c>
      <c r="C207" s="13" t="s">
        <v>78</v>
      </c>
      <c r="D207" s="13"/>
    </row>
    <row r="208" customFormat="false" ht="15" hidden="false" customHeight="false" outlineLevel="0" collapsed="false">
      <c r="A208" s="24" t="n">
        <v>37288</v>
      </c>
      <c r="B208" s="9" t="n">
        <v>20.72</v>
      </c>
      <c r="C208" s="13" t="s">
        <v>78</v>
      </c>
      <c r="D208" s="13"/>
    </row>
    <row r="209" customFormat="false" ht="15" hidden="false" customHeight="false" outlineLevel="0" collapsed="false">
      <c r="A209" s="24" t="n">
        <v>37316</v>
      </c>
      <c r="B209" s="9" t="n">
        <v>24.53</v>
      </c>
      <c r="C209" s="13" t="s">
        <v>78</v>
      </c>
      <c r="D209" s="13"/>
    </row>
    <row r="210" customFormat="false" ht="15" hidden="false" customHeight="false" outlineLevel="0" collapsed="false">
      <c r="A210" s="24" t="n">
        <v>37347</v>
      </c>
      <c r="B210" s="9" t="n">
        <v>26.18</v>
      </c>
      <c r="C210" s="13" t="s">
        <v>78</v>
      </c>
      <c r="D210" s="13"/>
    </row>
    <row r="211" customFormat="false" ht="15" hidden="false" customHeight="false" outlineLevel="0" collapsed="false">
      <c r="A211" s="24" t="n">
        <v>37377</v>
      </c>
      <c r="B211" s="9" t="n">
        <v>27.04</v>
      </c>
      <c r="C211" s="13" t="s">
        <v>78</v>
      </c>
      <c r="D211" s="13"/>
    </row>
    <row r="212" customFormat="false" ht="15" hidden="false" customHeight="false" outlineLevel="0" collapsed="false">
      <c r="A212" s="24" t="n">
        <v>37408</v>
      </c>
      <c r="B212" s="9" t="n">
        <v>25.52</v>
      </c>
      <c r="C212" s="13" t="s">
        <v>78</v>
      </c>
      <c r="D212" s="13"/>
    </row>
    <row r="213" customFormat="false" ht="15" hidden="false" customHeight="false" outlineLevel="0" collapsed="false">
      <c r="A213" s="24" t="n">
        <v>37438</v>
      </c>
      <c r="B213" s="9" t="n">
        <v>26.97</v>
      </c>
      <c r="C213" s="13" t="s">
        <v>78</v>
      </c>
      <c r="D213" s="13"/>
    </row>
    <row r="214" customFormat="false" ht="15" hidden="false" customHeight="false" outlineLevel="0" collapsed="false">
      <c r="A214" s="24" t="n">
        <v>37469</v>
      </c>
      <c r="B214" s="9" t="n">
        <v>28.39</v>
      </c>
      <c r="C214" s="13" t="s">
        <v>78</v>
      </c>
      <c r="D214" s="13"/>
    </row>
    <row r="215" customFormat="false" ht="15" hidden="false" customHeight="false" outlineLevel="0" collapsed="false">
      <c r="A215" s="24" t="n">
        <v>37500</v>
      </c>
      <c r="B215" s="9" t="n">
        <v>29.66</v>
      </c>
      <c r="C215" s="13" t="s">
        <v>78</v>
      </c>
      <c r="D215" s="13"/>
    </row>
    <row r="216" customFormat="false" ht="15" hidden="false" customHeight="false" outlineLevel="0" collapsed="false">
      <c r="A216" s="24" t="n">
        <v>37530</v>
      </c>
      <c r="B216" s="9" t="n">
        <v>28.84</v>
      </c>
      <c r="C216" s="13" t="s">
        <v>78</v>
      </c>
      <c r="D216" s="13"/>
    </row>
    <row r="217" customFormat="false" ht="15" hidden="false" customHeight="false" outlineLevel="0" collapsed="false">
      <c r="A217" s="24" t="n">
        <v>37561</v>
      </c>
      <c r="B217" s="9" t="n">
        <v>26.35</v>
      </c>
      <c r="C217" s="13" t="s">
        <v>78</v>
      </c>
      <c r="D217" s="13"/>
    </row>
    <row r="218" customFormat="false" ht="15" hidden="false" customHeight="false" outlineLevel="0" collapsed="false">
      <c r="A218" s="24" t="n">
        <v>37591</v>
      </c>
      <c r="B218" s="9" t="n">
        <v>29.46</v>
      </c>
      <c r="C218" s="13" t="s">
        <v>78</v>
      </c>
      <c r="D218" s="13"/>
    </row>
    <row r="219" customFormat="false" ht="15" hidden="false" customHeight="false" outlineLevel="0" collapsed="false">
      <c r="A219" s="24" t="n">
        <v>37622</v>
      </c>
      <c r="B219" s="9" t="n">
        <v>32.95</v>
      </c>
      <c r="C219" s="13" t="s">
        <v>78</v>
      </c>
      <c r="D219" s="13"/>
    </row>
    <row r="220" customFormat="false" ht="15" hidden="false" customHeight="false" outlineLevel="0" collapsed="false">
      <c r="A220" s="24" t="n">
        <v>37653</v>
      </c>
      <c r="B220" s="9" t="n">
        <v>35.83</v>
      </c>
      <c r="C220" s="13" t="s">
        <v>78</v>
      </c>
      <c r="D220" s="13"/>
    </row>
    <row r="221" customFormat="false" ht="15" hidden="false" customHeight="false" outlineLevel="0" collapsed="false">
      <c r="A221" s="24" t="n">
        <v>37681</v>
      </c>
      <c r="B221" s="9" t="n">
        <v>33.51</v>
      </c>
      <c r="C221" s="13" t="s">
        <v>78</v>
      </c>
      <c r="D221" s="13"/>
    </row>
    <row r="222" customFormat="false" ht="15" hidden="false" customHeight="false" outlineLevel="0" collapsed="false">
      <c r="A222" s="24" t="n">
        <v>37712</v>
      </c>
      <c r="B222" s="9" t="n">
        <v>28.17</v>
      </c>
      <c r="C222" s="13" t="s">
        <v>78</v>
      </c>
      <c r="D222" s="13"/>
    </row>
    <row r="223" customFormat="false" ht="15" hidden="false" customHeight="false" outlineLevel="0" collapsed="false">
      <c r="A223" s="24" t="n">
        <v>37742</v>
      </c>
      <c r="B223" s="9" t="n">
        <v>28.11</v>
      </c>
      <c r="C223" s="13" t="s">
        <v>78</v>
      </c>
      <c r="D223" s="13"/>
    </row>
    <row r="224" customFormat="false" ht="15" hidden="false" customHeight="false" outlineLevel="0" collapsed="false">
      <c r="A224" s="24" t="n">
        <v>37773</v>
      </c>
      <c r="B224" s="9" t="n">
        <v>30.66</v>
      </c>
      <c r="C224" s="13" t="s">
        <v>78</v>
      </c>
      <c r="D224" s="13"/>
    </row>
    <row r="225" customFormat="false" ht="15" hidden="false" customHeight="false" outlineLevel="0" collapsed="false">
      <c r="A225" s="24" t="n">
        <v>37803</v>
      </c>
      <c r="B225" s="9" t="n">
        <v>30.76</v>
      </c>
      <c r="C225" s="13" t="s">
        <v>78</v>
      </c>
      <c r="D225" s="13"/>
    </row>
    <row r="226" customFormat="false" ht="15" hidden="false" customHeight="false" outlineLevel="0" collapsed="false">
      <c r="A226" s="24" t="n">
        <v>37834</v>
      </c>
      <c r="B226" s="9" t="n">
        <v>31.57</v>
      </c>
      <c r="C226" s="13" t="s">
        <v>78</v>
      </c>
      <c r="D226" s="13"/>
    </row>
    <row r="227" customFormat="false" ht="15" hidden="false" customHeight="false" outlineLevel="0" collapsed="false">
      <c r="A227" s="24" t="n">
        <v>37865</v>
      </c>
      <c r="B227" s="9" t="n">
        <v>28.31</v>
      </c>
      <c r="C227" s="13" t="s">
        <v>78</v>
      </c>
      <c r="D227" s="13"/>
    </row>
    <row r="228" customFormat="false" ht="15" hidden="false" customHeight="false" outlineLevel="0" collapsed="false">
      <c r="A228" s="24" t="n">
        <v>37895</v>
      </c>
      <c r="B228" s="9" t="n">
        <v>30.34</v>
      </c>
      <c r="C228" s="13" t="s">
        <v>78</v>
      </c>
      <c r="D228" s="13"/>
    </row>
    <row r="229" customFormat="false" ht="15" hidden="false" customHeight="false" outlineLevel="0" collapsed="false">
      <c r="A229" s="24" t="n">
        <v>37926</v>
      </c>
      <c r="B229" s="9" t="n">
        <v>31.11</v>
      </c>
      <c r="C229" s="13" t="s">
        <v>78</v>
      </c>
      <c r="D229" s="13"/>
    </row>
    <row r="230" customFormat="false" ht="15" hidden="false" customHeight="false" outlineLevel="0" collapsed="false">
      <c r="A230" s="24" t="n">
        <v>37956</v>
      </c>
      <c r="B230" s="9" t="n">
        <v>32.13</v>
      </c>
      <c r="C230" s="13" t="s">
        <v>78</v>
      </c>
      <c r="D230" s="13"/>
    </row>
    <row r="231" customFormat="false" ht="15" hidden="false" customHeight="false" outlineLevel="0" collapsed="false">
      <c r="A231" s="24" t="n">
        <v>37987</v>
      </c>
      <c r="B231" s="9" t="n">
        <v>34.31</v>
      </c>
      <c r="C231" s="13" t="s">
        <v>78</v>
      </c>
      <c r="D231" s="13"/>
    </row>
    <row r="232" customFormat="false" ht="15" hidden="false" customHeight="false" outlineLevel="0" collapsed="false">
      <c r="A232" s="24" t="n">
        <v>38018</v>
      </c>
      <c r="B232" s="9" t="n">
        <v>34.69</v>
      </c>
      <c r="C232" s="13" t="s">
        <v>78</v>
      </c>
      <c r="D232" s="13"/>
    </row>
    <row r="233" customFormat="false" ht="15" hidden="false" customHeight="false" outlineLevel="0" collapsed="false">
      <c r="A233" s="24" t="n">
        <v>38047</v>
      </c>
      <c r="B233" s="9" t="n">
        <v>36.74</v>
      </c>
      <c r="C233" s="13" t="s">
        <v>78</v>
      </c>
      <c r="D233" s="13"/>
    </row>
    <row r="234" customFormat="false" ht="15" hidden="false" customHeight="false" outlineLevel="0" collapsed="false">
      <c r="A234" s="24" t="n">
        <v>38078</v>
      </c>
      <c r="B234" s="9" t="n">
        <v>36.75</v>
      </c>
      <c r="C234" s="13" t="s">
        <v>78</v>
      </c>
      <c r="D234" s="13"/>
    </row>
    <row r="235" customFormat="false" ht="15" hidden="false" customHeight="false" outlineLevel="0" collapsed="false">
      <c r="A235" s="24" t="n">
        <v>38108</v>
      </c>
      <c r="B235" s="9" t="n">
        <v>40.28</v>
      </c>
      <c r="C235" s="13" t="s">
        <v>78</v>
      </c>
      <c r="D235" s="13"/>
    </row>
    <row r="236" customFormat="false" ht="15" hidden="false" customHeight="false" outlineLevel="0" collapsed="false">
      <c r="A236" s="24" t="n">
        <v>38139</v>
      </c>
      <c r="B236" s="9" t="n">
        <v>38.03</v>
      </c>
      <c r="C236" s="13" t="s">
        <v>78</v>
      </c>
      <c r="D236" s="13"/>
    </row>
    <row r="237" customFormat="false" ht="15" hidden="false" customHeight="false" outlineLevel="0" collapsed="false">
      <c r="A237" s="24" t="n">
        <v>38169</v>
      </c>
      <c r="B237" s="9" t="n">
        <v>40.78</v>
      </c>
      <c r="C237" s="13" t="s">
        <v>78</v>
      </c>
      <c r="D237" s="13"/>
    </row>
    <row r="238" customFormat="false" ht="15" hidden="false" customHeight="false" outlineLevel="0" collapsed="false">
      <c r="A238" s="24" t="n">
        <v>38200</v>
      </c>
      <c r="B238" s="9" t="n">
        <v>44.9</v>
      </c>
      <c r="C238" s="13" t="s">
        <v>78</v>
      </c>
      <c r="D238" s="13"/>
    </row>
    <row r="239" customFormat="false" ht="15" hidden="false" customHeight="false" outlineLevel="0" collapsed="false">
      <c r="A239" s="24" t="n">
        <v>38231</v>
      </c>
      <c r="B239" s="9" t="n">
        <v>45.94</v>
      </c>
      <c r="C239" s="13" t="s">
        <v>78</v>
      </c>
      <c r="D239" s="13"/>
    </row>
    <row r="240" customFormat="false" ht="15" hidden="false" customHeight="false" outlineLevel="0" collapsed="false">
      <c r="A240" s="24" t="n">
        <v>38261</v>
      </c>
      <c r="B240" s="9" t="n">
        <v>53.28</v>
      </c>
      <c r="C240" s="13" t="s">
        <v>78</v>
      </c>
      <c r="D240" s="13"/>
    </row>
    <row r="241" customFormat="false" ht="15" hidden="false" customHeight="false" outlineLevel="0" collapsed="false">
      <c r="A241" s="24" t="n">
        <v>38292</v>
      </c>
      <c r="B241" s="9" t="n">
        <v>48.47</v>
      </c>
      <c r="C241" s="13" t="s">
        <v>78</v>
      </c>
      <c r="D241" s="13"/>
    </row>
    <row r="242" customFormat="false" ht="15" hidden="false" customHeight="false" outlineLevel="0" collapsed="false">
      <c r="A242" s="24" t="n">
        <v>38322</v>
      </c>
      <c r="B242" s="9" t="n">
        <v>43.15</v>
      </c>
      <c r="C242" s="13" t="s">
        <v>78</v>
      </c>
      <c r="D242" s="13"/>
    </row>
    <row r="243" customFormat="false" ht="15" hidden="false" customHeight="false" outlineLevel="0" collapsed="false">
      <c r="A243" s="24" t="n">
        <v>38353</v>
      </c>
      <c r="B243" s="9" t="n">
        <v>46.84</v>
      </c>
      <c r="C243" s="13" t="s">
        <v>78</v>
      </c>
      <c r="D243" s="13"/>
    </row>
    <row r="244" customFormat="false" ht="15" hidden="false" customHeight="false" outlineLevel="0" collapsed="false">
      <c r="A244" s="24" t="n">
        <v>38384</v>
      </c>
      <c r="B244" s="9" t="n">
        <v>48.15</v>
      </c>
      <c r="C244" s="13" t="s">
        <v>78</v>
      </c>
      <c r="D244" s="13"/>
    </row>
    <row r="245" customFormat="false" ht="15" hidden="false" customHeight="false" outlineLevel="0" collapsed="false">
      <c r="A245" s="24" t="n">
        <v>38412</v>
      </c>
      <c r="B245" s="9" t="n">
        <v>54.19</v>
      </c>
      <c r="C245" s="13" t="s">
        <v>78</v>
      </c>
      <c r="D245" s="13"/>
    </row>
    <row r="246" customFormat="false" ht="15" hidden="false" customHeight="false" outlineLevel="0" collapsed="false">
      <c r="A246" s="24" t="n">
        <v>38443</v>
      </c>
      <c r="B246" s="9" t="n">
        <v>52.98</v>
      </c>
      <c r="C246" s="13" t="s">
        <v>78</v>
      </c>
      <c r="D246" s="13"/>
    </row>
    <row r="247" customFormat="false" ht="15" hidden="false" customHeight="false" outlineLevel="0" collapsed="false">
      <c r="A247" s="24" t="n">
        <v>38473</v>
      </c>
      <c r="B247" s="9" t="n">
        <v>49.83</v>
      </c>
      <c r="C247" s="13" t="s">
        <v>78</v>
      </c>
      <c r="D247" s="13"/>
    </row>
    <row r="248" customFormat="false" ht="15" hidden="false" customHeight="false" outlineLevel="0" collapsed="false">
      <c r="A248" s="24" t="n">
        <v>38504</v>
      </c>
      <c r="B248" s="9" t="n">
        <v>56.35</v>
      </c>
      <c r="C248" s="13" t="s">
        <v>78</v>
      </c>
      <c r="D248" s="13"/>
    </row>
    <row r="249" customFormat="false" ht="15" hidden="false" customHeight="false" outlineLevel="0" collapsed="false">
      <c r="A249" s="24" t="n">
        <v>38534</v>
      </c>
      <c r="B249" s="9" t="n">
        <v>59</v>
      </c>
      <c r="C249" s="13" t="s">
        <v>78</v>
      </c>
      <c r="D249" s="13"/>
    </row>
    <row r="250" customFormat="false" ht="15" hidden="false" customHeight="false" outlineLevel="0" collapsed="false">
      <c r="A250" s="24" t="n">
        <v>38565</v>
      </c>
      <c r="B250" s="9" t="n">
        <v>64.99</v>
      </c>
      <c r="C250" s="13" t="s">
        <v>78</v>
      </c>
      <c r="D250" s="13"/>
    </row>
    <row r="251" customFormat="false" ht="15" hidden="false" customHeight="false" outlineLevel="0" collapsed="false">
      <c r="A251" s="24" t="n">
        <v>38596</v>
      </c>
      <c r="B251" s="9" t="n">
        <v>65.59</v>
      </c>
      <c r="C251" s="13" t="s">
        <v>78</v>
      </c>
      <c r="D251" s="13"/>
    </row>
    <row r="252" customFormat="false" ht="15" hidden="false" customHeight="false" outlineLevel="0" collapsed="false">
      <c r="A252" s="24" t="n">
        <v>38626</v>
      </c>
      <c r="B252" s="9" t="n">
        <v>62.26</v>
      </c>
      <c r="C252" s="13" t="s">
        <v>78</v>
      </c>
      <c r="D252" s="13"/>
    </row>
    <row r="253" customFormat="false" ht="15" hidden="false" customHeight="false" outlineLevel="0" collapsed="false">
      <c r="A253" s="24" t="n">
        <v>38657</v>
      </c>
      <c r="B253" s="9" t="n">
        <v>58.32</v>
      </c>
      <c r="C253" s="13" t="s">
        <v>78</v>
      </c>
      <c r="D253" s="13"/>
    </row>
    <row r="254" customFormat="false" ht="15" hidden="false" customHeight="false" outlineLevel="0" collapsed="false">
      <c r="A254" s="24" t="n">
        <v>38687</v>
      </c>
      <c r="B254" s="9" t="n">
        <v>59.41</v>
      </c>
      <c r="C254" s="13" t="s">
        <v>78</v>
      </c>
      <c r="D254" s="13"/>
    </row>
    <row r="255" customFormat="false" ht="15" hidden="false" customHeight="false" outlineLevel="0" collapsed="false">
      <c r="A255" s="24" t="n">
        <v>38718</v>
      </c>
      <c r="B255" s="9" t="n">
        <v>65.49</v>
      </c>
      <c r="C255" s="13" t="s">
        <v>78</v>
      </c>
      <c r="D255" s="13"/>
    </row>
    <row r="256" customFormat="false" ht="15" hidden="false" customHeight="false" outlineLevel="0" collapsed="false">
      <c r="A256" s="24" t="n">
        <v>38749</v>
      </c>
      <c r="B256" s="9" t="n">
        <v>61.63</v>
      </c>
      <c r="C256" s="13" t="s">
        <v>78</v>
      </c>
      <c r="D256" s="13"/>
    </row>
    <row r="257" customFormat="false" ht="15" hidden="false" customHeight="false" outlineLevel="0" collapsed="false">
      <c r="A257" s="24" t="n">
        <v>38777</v>
      </c>
      <c r="B257" s="9" t="n">
        <v>62.69</v>
      </c>
      <c r="C257" s="13" t="s">
        <v>78</v>
      </c>
      <c r="D257" s="13"/>
    </row>
    <row r="258" customFormat="false" ht="15" hidden="false" customHeight="false" outlineLevel="0" collapsed="false">
      <c r="A258" s="24" t="n">
        <v>38808</v>
      </c>
      <c r="B258" s="9" t="n">
        <v>69.44</v>
      </c>
      <c r="C258" s="13" t="s">
        <v>78</v>
      </c>
      <c r="D258" s="13"/>
    </row>
    <row r="259" customFormat="false" ht="15" hidden="false" customHeight="false" outlineLevel="0" collapsed="false">
      <c r="A259" s="24" t="n">
        <v>38838</v>
      </c>
      <c r="B259" s="9" t="n">
        <v>70.84</v>
      </c>
      <c r="C259" s="13" t="s">
        <v>78</v>
      </c>
      <c r="D259" s="13"/>
    </row>
    <row r="260" customFormat="false" ht="15" hidden="false" customHeight="false" outlineLevel="0" collapsed="false">
      <c r="A260" s="24" t="n">
        <v>38869</v>
      </c>
      <c r="B260" s="9" t="n">
        <v>70.95</v>
      </c>
      <c r="C260" s="13" t="s">
        <v>78</v>
      </c>
      <c r="D260" s="13"/>
    </row>
    <row r="261" customFormat="false" ht="15" hidden="false" customHeight="false" outlineLevel="0" collapsed="false">
      <c r="A261" s="24" t="n">
        <v>38899</v>
      </c>
      <c r="B261" s="9" t="n">
        <v>74.41</v>
      </c>
      <c r="C261" s="13" t="s">
        <v>78</v>
      </c>
      <c r="D261" s="13"/>
    </row>
    <row r="262" customFormat="false" ht="15" hidden="false" customHeight="false" outlineLevel="0" collapsed="false">
      <c r="A262" s="24" t="n">
        <v>38930</v>
      </c>
      <c r="B262" s="9" t="n">
        <v>73.04</v>
      </c>
      <c r="C262" s="13" t="s">
        <v>78</v>
      </c>
      <c r="D262" s="13"/>
    </row>
    <row r="263" customFormat="false" ht="15" hidden="false" customHeight="false" outlineLevel="0" collapsed="false">
      <c r="A263" s="24" t="n">
        <v>38961</v>
      </c>
      <c r="B263" s="9" t="n">
        <v>63.8</v>
      </c>
      <c r="C263" s="13" t="s">
        <v>78</v>
      </c>
      <c r="D263" s="13"/>
    </row>
    <row r="264" customFormat="false" ht="15" hidden="false" customHeight="false" outlineLevel="0" collapsed="false">
      <c r="A264" s="24" t="n">
        <v>38991</v>
      </c>
      <c r="B264" s="9" t="n">
        <v>58.89</v>
      </c>
      <c r="C264" s="13" t="s">
        <v>78</v>
      </c>
      <c r="D264" s="13"/>
    </row>
    <row r="265" customFormat="false" ht="15" hidden="false" customHeight="false" outlineLevel="0" collapsed="false">
      <c r="A265" s="24" t="n">
        <v>39022</v>
      </c>
      <c r="B265" s="9" t="n">
        <v>59.08</v>
      </c>
      <c r="C265" s="13" t="s">
        <v>78</v>
      </c>
      <c r="D265" s="13"/>
    </row>
    <row r="266" customFormat="false" ht="15" hidden="false" customHeight="false" outlineLevel="0" collapsed="false">
      <c r="A266" s="24" t="n">
        <v>39052</v>
      </c>
      <c r="B266" s="9" t="n">
        <v>61.96</v>
      </c>
      <c r="C266" s="13" t="s">
        <v>78</v>
      </c>
      <c r="D266" s="13"/>
    </row>
    <row r="267" customFormat="false" ht="15" hidden="false" customHeight="false" outlineLevel="0" collapsed="false">
      <c r="A267" s="24" t="n">
        <v>39083</v>
      </c>
      <c r="B267" s="9" t="n">
        <v>54.51</v>
      </c>
      <c r="C267" s="13" t="s">
        <v>78</v>
      </c>
      <c r="D267" s="13"/>
    </row>
    <row r="268" customFormat="false" ht="15" hidden="false" customHeight="false" outlineLevel="0" collapsed="false">
      <c r="A268" s="24" t="n">
        <v>39114</v>
      </c>
      <c r="B268" s="9" t="n">
        <v>59.28</v>
      </c>
      <c r="C268" s="13" t="s">
        <v>78</v>
      </c>
      <c r="D268" s="13"/>
    </row>
    <row r="269" customFormat="false" ht="15" hidden="false" customHeight="false" outlineLevel="0" collapsed="false">
      <c r="A269" s="24" t="n">
        <v>39142</v>
      </c>
      <c r="B269" s="9" t="n">
        <v>60.44</v>
      </c>
      <c r="C269" s="13" t="s">
        <v>78</v>
      </c>
      <c r="D269" s="13"/>
    </row>
    <row r="270" customFormat="false" ht="15" hidden="false" customHeight="false" outlineLevel="0" collapsed="false">
      <c r="A270" s="24" t="n">
        <v>39173</v>
      </c>
      <c r="B270" s="9" t="n">
        <v>63.98</v>
      </c>
      <c r="C270" s="13" t="s">
        <v>78</v>
      </c>
      <c r="D270" s="13"/>
    </row>
    <row r="271" customFormat="false" ht="15" hidden="false" customHeight="false" outlineLevel="0" collapsed="false">
      <c r="A271" s="24" t="n">
        <v>39203</v>
      </c>
      <c r="B271" s="9" t="n">
        <v>63.46</v>
      </c>
      <c r="C271" s="13" t="s">
        <v>78</v>
      </c>
      <c r="D271" s="13"/>
    </row>
    <row r="272" customFormat="false" ht="15" hidden="false" customHeight="false" outlineLevel="0" collapsed="false">
      <c r="A272" s="24" t="n">
        <v>39234</v>
      </c>
      <c r="B272" s="9" t="n">
        <v>67.49</v>
      </c>
      <c r="C272" s="13" t="s">
        <v>78</v>
      </c>
      <c r="D272" s="13"/>
    </row>
    <row r="273" customFormat="false" ht="15" hidden="false" customHeight="false" outlineLevel="0" collapsed="false">
      <c r="A273" s="24" t="n">
        <v>39264</v>
      </c>
      <c r="B273" s="9" t="n">
        <v>74.12</v>
      </c>
      <c r="C273" s="13" t="s">
        <v>78</v>
      </c>
      <c r="D273" s="13"/>
    </row>
    <row r="274" customFormat="false" ht="15" hidden="false" customHeight="false" outlineLevel="0" collapsed="false">
      <c r="A274" s="24" t="n">
        <v>39295</v>
      </c>
      <c r="B274" s="9" t="n">
        <v>72.36</v>
      </c>
      <c r="C274" s="13" t="s">
        <v>78</v>
      </c>
      <c r="D274" s="13"/>
    </row>
    <row r="275" customFormat="false" ht="15" hidden="false" customHeight="false" outlineLevel="0" collapsed="false">
      <c r="A275" s="24" t="n">
        <v>39326</v>
      </c>
      <c r="B275" s="9" t="n">
        <v>79.92</v>
      </c>
      <c r="C275" s="13" t="s">
        <v>78</v>
      </c>
      <c r="D275" s="13"/>
    </row>
    <row r="276" customFormat="false" ht="15" hidden="false" customHeight="false" outlineLevel="0" collapsed="false">
      <c r="A276" s="24" t="n">
        <v>39356</v>
      </c>
      <c r="B276" s="9" t="n">
        <v>85.8</v>
      </c>
      <c r="C276" s="13" t="s">
        <v>78</v>
      </c>
      <c r="D276" s="13"/>
    </row>
    <row r="277" customFormat="false" ht="15" hidden="false" customHeight="false" outlineLevel="0" collapsed="false">
      <c r="A277" s="24" t="n">
        <v>39387</v>
      </c>
      <c r="B277" s="9" t="n">
        <v>94.77</v>
      </c>
      <c r="C277" s="13" t="s">
        <v>78</v>
      </c>
      <c r="D277" s="13"/>
    </row>
    <row r="278" customFormat="false" ht="15" hidden="false" customHeight="false" outlineLevel="0" collapsed="false">
      <c r="A278" s="24" t="n">
        <v>39417</v>
      </c>
      <c r="B278" s="9" t="n">
        <v>91.69</v>
      </c>
      <c r="C278" s="13" t="s">
        <v>78</v>
      </c>
      <c r="D278" s="13"/>
    </row>
    <row r="279" customFormat="false" ht="15" hidden="false" customHeight="false" outlineLevel="0" collapsed="false">
      <c r="A279" s="24" t="n">
        <v>39448</v>
      </c>
      <c r="B279" s="9" t="n">
        <v>92.97</v>
      </c>
      <c r="C279" s="13" t="s">
        <v>78</v>
      </c>
      <c r="D279" s="13"/>
    </row>
    <row r="280" customFormat="false" ht="15" hidden="false" customHeight="false" outlineLevel="0" collapsed="false">
      <c r="A280" s="24" t="n">
        <v>39479</v>
      </c>
      <c r="B280" s="9" t="n">
        <v>95.39</v>
      </c>
      <c r="C280" s="13" t="s">
        <v>78</v>
      </c>
      <c r="D280" s="13"/>
    </row>
    <row r="281" customFormat="false" ht="15" hidden="false" customHeight="false" outlineLevel="0" collapsed="false">
      <c r="A281" s="24" t="n">
        <v>39508</v>
      </c>
      <c r="B281" s="9" t="n">
        <v>105.45</v>
      </c>
      <c r="C281" s="13" t="s">
        <v>78</v>
      </c>
      <c r="D281" s="13"/>
    </row>
    <row r="282" customFormat="false" ht="15" hidden="false" customHeight="false" outlineLevel="0" collapsed="false">
      <c r="A282" s="24" t="n">
        <v>39539</v>
      </c>
      <c r="B282" s="9" t="n">
        <v>112.58</v>
      </c>
      <c r="C282" s="13" t="s">
        <v>78</v>
      </c>
      <c r="D282" s="13"/>
    </row>
    <row r="283" customFormat="false" ht="15" hidden="false" customHeight="false" outlineLevel="0" collapsed="false">
      <c r="A283" s="24" t="n">
        <v>39569</v>
      </c>
      <c r="B283" s="9" t="n">
        <v>125.4</v>
      </c>
      <c r="C283" s="13" t="s">
        <v>78</v>
      </c>
      <c r="D283" s="13"/>
    </row>
    <row r="284" customFormat="false" ht="15" hidden="false" customHeight="false" outlineLevel="0" collapsed="false">
      <c r="A284" s="24" t="n">
        <v>39600</v>
      </c>
      <c r="B284" s="9" t="n">
        <v>133.88</v>
      </c>
      <c r="C284" s="13" t="s">
        <v>78</v>
      </c>
      <c r="D284" s="13"/>
    </row>
    <row r="285" customFormat="false" ht="15" hidden="false" customHeight="false" outlineLevel="0" collapsed="false">
      <c r="A285" s="24" t="n">
        <v>39630</v>
      </c>
      <c r="B285" s="9" t="n">
        <v>133.37</v>
      </c>
      <c r="C285" s="13" t="s">
        <v>78</v>
      </c>
      <c r="D285" s="13"/>
    </row>
    <row r="286" customFormat="false" ht="15" hidden="false" customHeight="false" outlineLevel="0" collapsed="false">
      <c r="A286" s="24" t="n">
        <v>39661</v>
      </c>
      <c r="B286" s="9" t="n">
        <v>116.67</v>
      </c>
      <c r="C286" s="13" t="s">
        <v>78</v>
      </c>
      <c r="D286" s="13"/>
    </row>
    <row r="287" customFormat="false" ht="15" hidden="false" customHeight="false" outlineLevel="0" collapsed="false">
      <c r="A287" s="24" t="n">
        <v>39692</v>
      </c>
      <c r="B287" s="9" t="n">
        <v>104.11</v>
      </c>
      <c r="C287" s="13" t="s">
        <v>78</v>
      </c>
      <c r="D287" s="13"/>
    </row>
    <row r="288" customFormat="false" ht="15" hidden="false" customHeight="false" outlineLevel="0" collapsed="false">
      <c r="A288" s="24" t="n">
        <v>39722</v>
      </c>
      <c r="B288" s="9" t="n">
        <v>76.61</v>
      </c>
      <c r="C288" s="13" t="s">
        <v>78</v>
      </c>
      <c r="D288" s="13"/>
    </row>
    <row r="289" customFormat="false" ht="15" hidden="false" customHeight="false" outlineLevel="0" collapsed="false">
      <c r="A289" s="24" t="n">
        <v>39753</v>
      </c>
      <c r="B289" s="9" t="n">
        <v>57.31</v>
      </c>
      <c r="C289" s="13" t="s">
        <v>78</v>
      </c>
      <c r="D289" s="13"/>
    </row>
    <row r="290" customFormat="false" ht="15" hidden="false" customHeight="false" outlineLevel="0" collapsed="false">
      <c r="A290" s="24" t="n">
        <v>39783</v>
      </c>
      <c r="B290" s="9" t="n">
        <v>41.12</v>
      </c>
      <c r="C290" s="13" t="s">
        <v>78</v>
      </c>
      <c r="D290" s="13"/>
    </row>
    <row r="291" customFormat="false" ht="15" hidden="false" customHeight="false" outlineLevel="0" collapsed="false">
      <c r="A291" s="24" t="n">
        <v>39814</v>
      </c>
      <c r="B291" s="9" t="n">
        <v>41.71</v>
      </c>
      <c r="C291" s="13" t="s">
        <v>78</v>
      </c>
      <c r="D291" s="13"/>
    </row>
    <row r="292" customFormat="false" ht="15" hidden="false" customHeight="false" outlineLevel="0" collapsed="false">
      <c r="A292" s="24" t="n">
        <v>39845</v>
      </c>
      <c r="B292" s="9" t="n">
        <v>39.09</v>
      </c>
      <c r="C292" s="13" t="s">
        <v>78</v>
      </c>
      <c r="D292" s="13"/>
    </row>
    <row r="293" customFormat="false" ht="15" hidden="false" customHeight="false" outlineLevel="0" collapsed="false">
      <c r="A293" s="24" t="n">
        <v>39873</v>
      </c>
      <c r="B293" s="9" t="n">
        <v>47.94</v>
      </c>
      <c r="C293" s="13" t="s">
        <v>78</v>
      </c>
      <c r="D293" s="13"/>
    </row>
    <row r="294" customFormat="false" ht="15" hidden="false" customHeight="false" outlineLevel="0" collapsed="false">
      <c r="A294" s="24" t="n">
        <v>39904</v>
      </c>
      <c r="B294" s="9" t="n">
        <v>49.65</v>
      </c>
      <c r="C294" s="13" t="s">
        <v>78</v>
      </c>
      <c r="D294" s="13"/>
    </row>
    <row r="295" customFormat="false" ht="15" hidden="false" customHeight="false" outlineLevel="0" collapsed="false">
      <c r="A295" s="24" t="n">
        <v>39934</v>
      </c>
      <c r="B295" s="9" t="n">
        <v>59.03</v>
      </c>
      <c r="C295" s="13" t="s">
        <v>78</v>
      </c>
      <c r="D295" s="13"/>
    </row>
    <row r="296" customFormat="false" ht="15" hidden="false" customHeight="false" outlineLevel="0" collapsed="false">
      <c r="A296" s="24" t="n">
        <v>39965</v>
      </c>
      <c r="B296" s="9" t="n">
        <v>69.64</v>
      </c>
      <c r="C296" s="13" t="s">
        <v>78</v>
      </c>
      <c r="D296" s="13"/>
    </row>
    <row r="297" customFormat="false" ht="15" hidden="false" customHeight="false" outlineLevel="0" collapsed="false">
      <c r="A297" s="24" t="n">
        <v>39995</v>
      </c>
      <c r="B297" s="9" t="n">
        <v>64.15</v>
      </c>
      <c r="C297" s="13" t="s">
        <v>78</v>
      </c>
      <c r="D297" s="13"/>
    </row>
    <row r="298" customFormat="false" ht="15" hidden="false" customHeight="false" outlineLevel="0" collapsed="false">
      <c r="A298" s="24" t="n">
        <v>40026</v>
      </c>
      <c r="B298" s="9" t="n">
        <v>71.05</v>
      </c>
      <c r="C298" s="13" t="s">
        <v>78</v>
      </c>
      <c r="D298" s="13"/>
    </row>
    <row r="299" customFormat="false" ht="15" hidden="false" customHeight="false" outlineLevel="0" collapsed="false">
      <c r="A299" s="24" t="n">
        <v>40057</v>
      </c>
      <c r="B299" s="9" t="n">
        <v>69.41</v>
      </c>
      <c r="C299" s="13" t="s">
        <v>78</v>
      </c>
      <c r="D299" s="13"/>
    </row>
    <row r="300" customFormat="false" ht="15" hidden="false" customHeight="false" outlineLevel="0" collapsed="false">
      <c r="A300" s="24" t="n">
        <v>40087</v>
      </c>
      <c r="B300" s="9" t="n">
        <v>75.72</v>
      </c>
      <c r="C300" s="13" t="s">
        <v>78</v>
      </c>
      <c r="D300" s="13"/>
    </row>
    <row r="301" customFormat="false" ht="15" hidden="false" customHeight="false" outlineLevel="0" collapsed="false">
      <c r="A301" s="24" t="n">
        <v>40118</v>
      </c>
      <c r="B301" s="9" t="n">
        <v>77.99</v>
      </c>
      <c r="C301" s="13" t="s">
        <v>78</v>
      </c>
      <c r="D301" s="13"/>
    </row>
    <row r="302" customFormat="false" ht="15" hidden="false" customHeight="false" outlineLevel="0" collapsed="false">
      <c r="A302" s="24" t="n">
        <v>40148</v>
      </c>
      <c r="B302" s="9" t="n">
        <v>74.47</v>
      </c>
      <c r="C302" s="13" t="s">
        <v>78</v>
      </c>
      <c r="D302" s="13"/>
    </row>
    <row r="303" customFormat="false" ht="15" hidden="false" customHeight="false" outlineLevel="0" collapsed="false">
      <c r="A303" s="24" t="n">
        <v>40179</v>
      </c>
      <c r="B303" s="9" t="n">
        <v>78.33</v>
      </c>
      <c r="C303" s="13" t="s">
        <v>78</v>
      </c>
      <c r="D303" s="13"/>
    </row>
    <row r="304" customFormat="false" ht="15" hidden="false" customHeight="false" outlineLevel="0" collapsed="false">
      <c r="A304" s="24" t="n">
        <v>40210</v>
      </c>
      <c r="B304" s="9" t="n">
        <v>76.39</v>
      </c>
      <c r="C304" s="13" t="s">
        <v>78</v>
      </c>
      <c r="D304" s="13"/>
    </row>
    <row r="305" customFormat="false" ht="15" hidden="false" customHeight="false" outlineLevel="0" collapsed="false">
      <c r="A305" s="24" t="n">
        <v>40238</v>
      </c>
      <c r="B305" s="9" t="n">
        <v>81.2</v>
      </c>
      <c r="C305" s="13" t="s">
        <v>78</v>
      </c>
      <c r="D305" s="13"/>
    </row>
    <row r="306" customFormat="false" ht="15" hidden="false" customHeight="false" outlineLevel="0" collapsed="false">
      <c r="A306" s="24" t="n">
        <v>40269</v>
      </c>
      <c r="B306" s="9" t="n">
        <v>84.29</v>
      </c>
      <c r="C306" s="13" t="s">
        <v>78</v>
      </c>
      <c r="D306" s="13"/>
    </row>
    <row r="307" customFormat="false" ht="15" hidden="false" customHeight="false" outlineLevel="0" collapsed="false">
      <c r="A307" s="24" t="n">
        <v>40299</v>
      </c>
      <c r="B307" s="9" t="n">
        <v>73.74</v>
      </c>
      <c r="C307" s="13" t="s">
        <v>78</v>
      </c>
      <c r="D307" s="13"/>
    </row>
    <row r="308" customFormat="false" ht="15" hidden="false" customHeight="false" outlineLevel="0" collapsed="false">
      <c r="A308" s="24" t="n">
        <v>40330</v>
      </c>
      <c r="B308" s="9" t="n">
        <v>75.34</v>
      </c>
      <c r="C308" s="13" t="s">
        <v>78</v>
      </c>
      <c r="D308" s="13"/>
    </row>
    <row r="309" customFormat="false" ht="15" hidden="false" customHeight="false" outlineLevel="0" collapsed="false">
      <c r="A309" s="24" t="n">
        <v>40360</v>
      </c>
      <c r="B309" s="9" t="n">
        <v>76.32</v>
      </c>
      <c r="C309" s="13" t="s">
        <v>78</v>
      </c>
      <c r="D309" s="13"/>
    </row>
    <row r="310" customFormat="false" ht="15" hidden="false" customHeight="false" outlineLevel="0" collapsed="false">
      <c r="A310" s="24" t="n">
        <v>40391</v>
      </c>
      <c r="B310" s="9" t="n">
        <v>76.6</v>
      </c>
      <c r="C310" s="13" t="s">
        <v>78</v>
      </c>
      <c r="D310" s="13"/>
    </row>
    <row r="311" customFormat="false" ht="15" hidden="false" customHeight="false" outlineLevel="0" collapsed="false">
      <c r="A311" s="24" t="n">
        <v>40422</v>
      </c>
      <c r="B311" s="9" t="n">
        <v>75.24</v>
      </c>
      <c r="C311" s="13" t="s">
        <v>78</v>
      </c>
      <c r="D311" s="13"/>
    </row>
    <row r="312" customFormat="false" ht="15" hidden="false" customHeight="false" outlineLevel="0" collapsed="false">
      <c r="A312" s="24" t="n">
        <v>40452</v>
      </c>
      <c r="B312" s="9" t="n">
        <v>81.89</v>
      </c>
      <c r="C312" s="13" t="s">
        <v>78</v>
      </c>
      <c r="D312" s="13"/>
    </row>
    <row r="313" customFormat="false" ht="15" hidden="false" customHeight="false" outlineLevel="0" collapsed="false">
      <c r="A313" s="24" t="n">
        <v>40483</v>
      </c>
      <c r="B313" s="9" t="n">
        <v>84.25</v>
      </c>
      <c r="C313" s="13" t="s">
        <v>78</v>
      </c>
      <c r="D313" s="13"/>
    </row>
    <row r="314" customFormat="false" ht="15" hidden="false" customHeight="false" outlineLevel="0" collapsed="false">
      <c r="A314" s="24" t="n">
        <v>40513</v>
      </c>
      <c r="B314" s="9" t="n">
        <v>89.15</v>
      </c>
      <c r="C314" s="13" t="s">
        <v>78</v>
      </c>
      <c r="D314" s="13"/>
    </row>
    <row r="315" customFormat="false" ht="15" hidden="false" customHeight="false" outlineLevel="0" collapsed="false">
      <c r="A315" s="24" t="n">
        <v>40544</v>
      </c>
      <c r="B315" s="9" t="n">
        <v>89.17</v>
      </c>
      <c r="C315" s="13" t="s">
        <v>78</v>
      </c>
      <c r="D315" s="13"/>
    </row>
    <row r="316" customFormat="false" ht="15" hidden="false" customHeight="false" outlineLevel="0" collapsed="false">
      <c r="A316" s="24" t="n">
        <v>40575</v>
      </c>
      <c r="B316" s="9" t="n">
        <v>88.58</v>
      </c>
      <c r="C316" s="13" t="s">
        <v>78</v>
      </c>
      <c r="D316" s="13"/>
    </row>
    <row r="317" customFormat="false" ht="15" hidden="false" customHeight="false" outlineLevel="0" collapsed="false">
      <c r="A317" s="24" t="n">
        <v>40603</v>
      </c>
      <c r="B317" s="9" t="n">
        <v>102.86</v>
      </c>
      <c r="C317" s="13" t="s">
        <v>78</v>
      </c>
      <c r="D317" s="13"/>
    </row>
    <row r="318" customFormat="false" ht="15" hidden="false" customHeight="false" outlineLevel="0" collapsed="false">
      <c r="A318" s="24" t="n">
        <v>40634</v>
      </c>
      <c r="B318" s="9" t="n">
        <v>109.53</v>
      </c>
      <c r="C318" s="13" t="s">
        <v>78</v>
      </c>
      <c r="D318" s="13"/>
    </row>
    <row r="319" customFormat="false" ht="15" hidden="false" customHeight="false" outlineLevel="0" collapsed="false">
      <c r="A319" s="24" t="n">
        <v>40664</v>
      </c>
      <c r="B319" s="9" t="n">
        <v>100.9</v>
      </c>
      <c r="C319" s="13" t="s">
        <v>78</v>
      </c>
      <c r="D319" s="13"/>
    </row>
    <row r="320" customFormat="false" ht="15" hidden="false" customHeight="false" outlineLevel="0" collapsed="false">
      <c r="A320" s="24" t="n">
        <v>40695</v>
      </c>
      <c r="B320" s="9" t="n">
        <v>96.26</v>
      </c>
      <c r="C320" s="13" t="s">
        <v>78</v>
      </c>
      <c r="D320" s="13"/>
    </row>
    <row r="321" customFormat="false" ht="15" hidden="false" customHeight="false" outlineLevel="0" collapsed="false">
      <c r="A321" s="24" t="n">
        <v>40725</v>
      </c>
      <c r="B321" s="9" t="n">
        <v>97.3</v>
      </c>
      <c r="C321" s="13" t="s">
        <v>78</v>
      </c>
      <c r="D321" s="13"/>
    </row>
    <row r="322" customFormat="false" ht="15" hidden="false" customHeight="false" outlineLevel="0" collapsed="false">
      <c r="A322" s="24" t="n">
        <v>40756</v>
      </c>
      <c r="B322" s="9" t="n">
        <v>86.33</v>
      </c>
      <c r="C322" s="13" t="s">
        <v>78</v>
      </c>
      <c r="D322" s="13"/>
    </row>
    <row r="323" customFormat="false" ht="15" hidden="false" customHeight="false" outlineLevel="0" collapsed="false">
      <c r="A323" s="24" t="n">
        <v>40787</v>
      </c>
      <c r="B323" s="9" t="n">
        <v>85.52</v>
      </c>
      <c r="C323" s="13" t="s">
        <v>78</v>
      </c>
      <c r="D323" s="13"/>
    </row>
    <row r="324" customFormat="false" ht="15" hidden="false" customHeight="false" outlineLevel="0" collapsed="false">
      <c r="A324" s="24" t="n">
        <v>40817</v>
      </c>
      <c r="B324" s="9" t="n">
        <v>86.32</v>
      </c>
      <c r="C324" s="13" t="s">
        <v>78</v>
      </c>
      <c r="D324" s="13"/>
    </row>
    <row r="325" customFormat="false" ht="15" hidden="false" customHeight="false" outlineLevel="0" collapsed="false">
      <c r="A325" s="24" t="n">
        <v>40848</v>
      </c>
      <c r="B325" s="9" t="n">
        <v>97.16</v>
      </c>
      <c r="C325" s="13" t="s">
        <v>78</v>
      </c>
      <c r="D325" s="13"/>
    </row>
    <row r="326" customFormat="false" ht="15" hidden="false" customHeight="false" outlineLevel="0" collapsed="false">
      <c r="A326" s="24" t="n">
        <v>40878</v>
      </c>
      <c r="B326" s="9" t="n">
        <v>98.56</v>
      </c>
      <c r="C326" s="13" t="s">
        <v>78</v>
      </c>
      <c r="D326" s="13"/>
    </row>
    <row r="327" customFormat="false" ht="15" hidden="false" customHeight="false" outlineLevel="0" collapsed="false">
      <c r="A327" s="24" t="n">
        <v>40909</v>
      </c>
      <c r="B327" s="9" t="n">
        <v>100.27</v>
      </c>
      <c r="C327" s="13" t="s">
        <v>78</v>
      </c>
      <c r="D327" s="13"/>
    </row>
    <row r="328" customFormat="false" ht="15" hidden="false" customHeight="false" outlineLevel="0" collapsed="false">
      <c r="A328" s="24" t="n">
        <v>40940</v>
      </c>
      <c r="B328" s="9" t="n">
        <v>102.2</v>
      </c>
      <c r="C328" s="13" t="s">
        <v>78</v>
      </c>
      <c r="D328" s="13"/>
    </row>
    <row r="329" customFormat="false" ht="15" hidden="false" customHeight="false" outlineLevel="0" collapsed="false">
      <c r="A329" s="24" t="n">
        <v>40969</v>
      </c>
      <c r="B329" s="9" t="n">
        <v>106.16</v>
      </c>
      <c r="C329" s="13" t="s">
        <v>78</v>
      </c>
      <c r="D329" s="13"/>
    </row>
    <row r="330" customFormat="false" ht="15" hidden="false" customHeight="false" outlineLevel="0" collapsed="false">
      <c r="A330" s="24" t="n">
        <v>41000</v>
      </c>
      <c r="B330" s="9" t="n">
        <v>103.32</v>
      </c>
      <c r="C330" s="13" t="s">
        <v>78</v>
      </c>
      <c r="D330" s="13"/>
    </row>
    <row r="331" customFormat="false" ht="15" hidden="false" customHeight="false" outlineLevel="0" collapsed="false">
      <c r="A331" s="24" t="n">
        <v>41030</v>
      </c>
      <c r="B331" s="9" t="n">
        <v>94.66</v>
      </c>
      <c r="C331" s="13" t="s">
        <v>78</v>
      </c>
      <c r="D331" s="13"/>
    </row>
    <row r="332" customFormat="false" ht="15" hidden="false" customHeight="false" outlineLevel="0" collapsed="false">
      <c r="A332" s="24" t="n">
        <v>41061</v>
      </c>
      <c r="B332" s="9" t="n">
        <v>82.3</v>
      </c>
      <c r="C332" s="13" t="s">
        <v>78</v>
      </c>
      <c r="D332" s="13"/>
    </row>
    <row r="333" customFormat="false" ht="15" hidden="false" customHeight="false" outlineLevel="0" collapsed="false">
      <c r="A333" s="24" t="n">
        <v>41091</v>
      </c>
      <c r="B333" s="9" t="n">
        <v>87.9</v>
      </c>
      <c r="C333" s="13" t="s">
        <v>78</v>
      </c>
      <c r="D333" s="13"/>
    </row>
    <row r="334" customFormat="false" ht="15" hidden="false" customHeight="false" outlineLevel="0" collapsed="false">
      <c r="A334" s="24" t="n">
        <v>41122</v>
      </c>
      <c r="B334" s="9" t="n">
        <v>94.13</v>
      </c>
      <c r="C334" s="13" t="s">
        <v>78</v>
      </c>
      <c r="D334" s="13"/>
    </row>
    <row r="335" customFormat="false" ht="15" hidden="false" customHeight="false" outlineLevel="0" collapsed="false">
      <c r="A335" s="24" t="n">
        <v>41153</v>
      </c>
      <c r="B335" s="9" t="n">
        <v>94.51</v>
      </c>
      <c r="C335" s="13" t="s">
        <v>78</v>
      </c>
      <c r="D335" s="13"/>
    </row>
    <row r="336" customFormat="false" ht="15" hidden="false" customHeight="false" outlineLevel="0" collapsed="false">
      <c r="A336" s="24" t="n">
        <v>41183</v>
      </c>
      <c r="B336" s="9" t="n">
        <v>89.49</v>
      </c>
      <c r="C336" s="13" t="s">
        <v>78</v>
      </c>
      <c r="D336" s="13"/>
    </row>
    <row r="337" customFormat="false" ht="15" hidden="false" customHeight="false" outlineLevel="0" collapsed="false">
      <c r="A337" s="24" t="n">
        <v>41214</v>
      </c>
      <c r="B337" s="9" t="n">
        <v>86.53</v>
      </c>
      <c r="C337" s="13" t="s">
        <v>78</v>
      </c>
      <c r="D337" s="13"/>
    </row>
    <row r="338" customFormat="false" ht="15" hidden="false" customHeight="false" outlineLevel="0" collapsed="false">
      <c r="A338" s="24" t="n">
        <v>41244</v>
      </c>
      <c r="B338" s="9" t="n">
        <v>87.86</v>
      </c>
      <c r="C338" s="13" t="s">
        <v>78</v>
      </c>
      <c r="D338" s="13"/>
    </row>
    <row r="339" customFormat="false" ht="15" hidden="false" customHeight="false" outlineLevel="0" collapsed="false">
      <c r="A339" s="24" t="n">
        <v>41275</v>
      </c>
      <c r="B339" s="9" t="n">
        <v>94.76</v>
      </c>
      <c r="C339" s="13" t="s">
        <v>78</v>
      </c>
      <c r="D339" s="13"/>
    </row>
    <row r="340" customFormat="false" ht="15" hidden="false" customHeight="false" outlineLevel="0" collapsed="false">
      <c r="A340" s="24" t="n">
        <v>41306</v>
      </c>
      <c r="B340" s="9" t="n">
        <v>95.31</v>
      </c>
      <c r="C340" s="13" t="s">
        <v>78</v>
      </c>
      <c r="D340" s="13"/>
    </row>
    <row r="341" customFormat="false" ht="15" hidden="false" customHeight="false" outlineLevel="0" collapsed="false">
      <c r="A341" s="24" t="n">
        <v>41334</v>
      </c>
      <c r="B341" s="9" t="n">
        <v>92.94</v>
      </c>
      <c r="C341" s="13" t="s">
        <v>78</v>
      </c>
      <c r="D341" s="13"/>
    </row>
    <row r="342" customFormat="false" ht="15" hidden="false" customHeight="false" outlineLevel="0" collapsed="false">
      <c r="A342" s="24" t="n">
        <v>41365</v>
      </c>
      <c r="B342" s="9" t="n">
        <v>92.02</v>
      </c>
      <c r="C342" s="13" t="s">
        <v>78</v>
      </c>
      <c r="D342" s="13"/>
    </row>
    <row r="343" customFormat="false" ht="15" hidden="false" customHeight="false" outlineLevel="0" collapsed="false">
      <c r="A343" s="24" t="n">
        <v>41395</v>
      </c>
      <c r="B343" s="9" t="n">
        <v>94.51</v>
      </c>
      <c r="C343" s="13" t="s">
        <v>78</v>
      </c>
      <c r="D343" s="13"/>
    </row>
    <row r="344" customFormat="false" ht="15" hidden="false" customHeight="false" outlineLevel="0" collapsed="false">
      <c r="A344" s="24" t="n">
        <v>41426</v>
      </c>
      <c r="B344" s="9" t="n">
        <v>95.77</v>
      </c>
      <c r="C344" s="13" t="s">
        <v>78</v>
      </c>
      <c r="D344" s="13"/>
    </row>
    <row r="345" customFormat="false" ht="15" hidden="false" customHeight="false" outlineLevel="0" collapsed="false">
      <c r="A345" s="24" t="n">
        <v>41456</v>
      </c>
      <c r="B345" s="9" t="n">
        <v>104.67</v>
      </c>
      <c r="C345" s="13" t="s">
        <v>78</v>
      </c>
      <c r="D345" s="13"/>
    </row>
    <row r="346" customFormat="false" ht="15" hidden="false" customHeight="false" outlineLevel="0" collapsed="false">
      <c r="A346" s="24" t="n">
        <v>41487</v>
      </c>
      <c r="B346" s="9" t="n">
        <v>106.57</v>
      </c>
      <c r="C346" s="13" t="s">
        <v>78</v>
      </c>
      <c r="D346" s="13"/>
    </row>
    <row r="347" customFormat="false" ht="15" hidden="false" customHeight="false" outlineLevel="0" collapsed="false">
      <c r="A347" s="24" t="n">
        <v>41518</v>
      </c>
      <c r="B347" s="9" t="n">
        <v>106.29</v>
      </c>
      <c r="C347" s="13" t="s">
        <v>78</v>
      </c>
      <c r="D347" s="13"/>
    </row>
    <row r="348" customFormat="false" ht="15" hidden="false" customHeight="false" outlineLevel="0" collapsed="false">
      <c r="A348" s="24" t="n">
        <v>41548</v>
      </c>
      <c r="B348" s="9" t="n">
        <v>100.54</v>
      </c>
      <c r="C348" s="13" t="s">
        <v>78</v>
      </c>
      <c r="D348" s="13"/>
    </row>
    <row r="349" customFormat="false" ht="15" hidden="false" customHeight="false" outlineLevel="0" collapsed="false">
      <c r="A349" s="24" t="n">
        <v>41579</v>
      </c>
      <c r="B349" s="9" t="n">
        <v>93.86</v>
      </c>
      <c r="C349" s="13" t="s">
        <v>78</v>
      </c>
      <c r="D349" s="13"/>
    </row>
    <row r="350" customFormat="false" ht="15" hidden="false" customHeight="false" outlineLevel="0" collapsed="false">
      <c r="A350" s="24" t="n">
        <v>41609</v>
      </c>
      <c r="B350" s="9" t="n">
        <v>97.63</v>
      </c>
      <c r="C350" s="13" t="s">
        <v>78</v>
      </c>
      <c r="D350" s="13"/>
    </row>
    <row r="351" customFormat="false" ht="15" hidden="false" customHeight="false" outlineLevel="0" collapsed="false">
      <c r="A351" s="24" t="n">
        <v>41640</v>
      </c>
      <c r="B351" s="9" t="n">
        <v>94.62</v>
      </c>
      <c r="C351" s="13" t="s">
        <v>78</v>
      </c>
      <c r="D351" s="13"/>
    </row>
    <row r="352" customFormat="false" ht="15" hidden="false" customHeight="false" outlineLevel="0" collapsed="false">
      <c r="A352" s="24" t="n">
        <v>41671</v>
      </c>
      <c r="B352" s="9" t="n">
        <v>100.82</v>
      </c>
      <c r="C352" s="13" t="s">
        <v>78</v>
      </c>
      <c r="D352" s="13"/>
    </row>
    <row r="353" customFormat="false" ht="15" hidden="false" customHeight="false" outlineLevel="0" collapsed="false">
      <c r="A353" s="24" t="n">
        <v>41699</v>
      </c>
      <c r="B353" s="9" t="n">
        <v>100.8</v>
      </c>
      <c r="C353" s="13" t="s">
        <v>78</v>
      </c>
      <c r="D353" s="13"/>
    </row>
    <row r="354" customFormat="false" ht="15" hidden="false" customHeight="false" outlineLevel="0" collapsed="false">
      <c r="A354" s="24" t="n">
        <v>41730</v>
      </c>
      <c r="B354" s="9" t="n">
        <v>102.07</v>
      </c>
      <c r="C354" s="13" t="s">
        <v>78</v>
      </c>
      <c r="D354" s="13"/>
    </row>
    <row r="355" customFormat="false" ht="15" hidden="false" customHeight="false" outlineLevel="0" collapsed="false">
      <c r="A355" s="24" t="n">
        <v>41760</v>
      </c>
      <c r="B355" s="9" t="n">
        <v>102.18</v>
      </c>
      <c r="C355" s="13" t="s">
        <v>78</v>
      </c>
      <c r="D355" s="13"/>
    </row>
    <row r="356" customFormat="false" ht="15" hidden="false" customHeight="false" outlineLevel="0" collapsed="false">
      <c r="A356" s="24" t="n">
        <v>41791</v>
      </c>
      <c r="B356" s="9" t="n">
        <v>105.79</v>
      </c>
      <c r="C356" s="13" t="s">
        <v>78</v>
      </c>
      <c r="D356" s="13"/>
    </row>
    <row r="357" customFormat="false" ht="15" hidden="false" customHeight="false" outlineLevel="0" collapsed="false">
      <c r="A357" s="24" t="n">
        <v>41821</v>
      </c>
      <c r="B357" s="9" t="n">
        <v>103.59</v>
      </c>
      <c r="C357" s="13" t="s">
        <v>78</v>
      </c>
      <c r="D357" s="13"/>
    </row>
    <row r="358" customFormat="false" ht="15" hidden="false" customHeight="false" outlineLevel="0" collapsed="false">
      <c r="A358" s="24" t="n">
        <v>41852</v>
      </c>
      <c r="B358" s="9" t="n">
        <v>96.54</v>
      </c>
      <c r="C358" s="13" t="s">
        <v>78</v>
      </c>
      <c r="D358" s="13"/>
    </row>
    <row r="359" customFormat="false" ht="15" hidden="false" customHeight="false" outlineLevel="0" collapsed="false">
      <c r="A359" s="24" t="n">
        <v>41883</v>
      </c>
      <c r="B359" s="9" t="n">
        <v>93.21</v>
      </c>
      <c r="C359" s="13" t="s">
        <v>78</v>
      </c>
      <c r="D359" s="13"/>
    </row>
    <row r="360" customFormat="false" ht="15" hidden="false" customHeight="false" outlineLevel="0" collapsed="false">
      <c r="A360" s="24" t="n">
        <v>41913</v>
      </c>
      <c r="B360" s="9" t="n">
        <v>84.4</v>
      </c>
      <c r="C360" s="13" t="s">
        <v>78</v>
      </c>
      <c r="D360" s="13"/>
    </row>
    <row r="361" customFormat="false" ht="15" hidden="false" customHeight="false" outlineLevel="0" collapsed="false">
      <c r="A361" s="24" t="n">
        <v>41944</v>
      </c>
      <c r="B361" s="9" t="n">
        <v>75.79</v>
      </c>
      <c r="C361" s="13" t="s">
        <v>78</v>
      </c>
      <c r="D361" s="13"/>
    </row>
    <row r="362" customFormat="false" ht="15" hidden="false" customHeight="false" outlineLevel="0" collapsed="false">
      <c r="A362" s="24" t="n">
        <v>41974</v>
      </c>
      <c r="B362" s="9" t="n">
        <v>59.29</v>
      </c>
      <c r="C362" s="13" t="s">
        <v>78</v>
      </c>
      <c r="D362" s="13"/>
    </row>
    <row r="363" customFormat="false" ht="15" hidden="false" customHeight="false" outlineLevel="0" collapsed="false">
      <c r="A363" s="24" t="n">
        <v>42005</v>
      </c>
      <c r="B363" s="9" t="n">
        <v>47.22</v>
      </c>
      <c r="C363" s="13" t="s">
        <v>78</v>
      </c>
      <c r="D363" s="13"/>
    </row>
    <row r="364" customFormat="false" ht="15" hidden="false" customHeight="false" outlineLevel="0" collapsed="false">
      <c r="A364" s="24" t="n">
        <v>42036</v>
      </c>
      <c r="B364" s="9" t="n">
        <v>50.58</v>
      </c>
      <c r="C364" s="13" t="s">
        <v>78</v>
      </c>
      <c r="D364" s="13"/>
    </row>
    <row r="365" customFormat="false" ht="15" hidden="false" customHeight="false" outlineLevel="0" collapsed="false">
      <c r="A365" s="24" t="n">
        <v>42064</v>
      </c>
      <c r="B365" s="9" t="n">
        <v>47.82</v>
      </c>
      <c r="C365" s="13" t="s">
        <v>78</v>
      </c>
      <c r="D365" s="13"/>
    </row>
    <row r="366" customFormat="false" ht="15" hidden="false" customHeight="false" outlineLevel="0" collapsed="false">
      <c r="A366" s="24" t="n">
        <v>42095</v>
      </c>
      <c r="B366" s="9" t="n">
        <v>54.45</v>
      </c>
      <c r="C366" s="13" t="s">
        <v>78</v>
      </c>
      <c r="D366" s="13"/>
    </row>
    <row r="367" customFormat="false" ht="15" hidden="false" customHeight="false" outlineLevel="0" collapsed="false">
      <c r="A367" s="24" t="n">
        <v>42125</v>
      </c>
      <c r="B367" s="9" t="n">
        <v>59.27</v>
      </c>
      <c r="C367" s="13" t="s">
        <v>78</v>
      </c>
      <c r="D367" s="13"/>
    </row>
    <row r="368" customFormat="false" ht="15" hidden="false" customHeight="false" outlineLevel="0" collapsed="false">
      <c r="A368" s="24" t="n">
        <v>42156</v>
      </c>
      <c r="B368" s="9" t="n">
        <v>59.82</v>
      </c>
      <c r="C368" s="13" t="s">
        <v>78</v>
      </c>
      <c r="D368" s="13"/>
    </row>
    <row r="369" customFormat="false" ht="15" hidden="false" customHeight="false" outlineLevel="0" collapsed="false">
      <c r="A369" s="24" t="n">
        <v>42186</v>
      </c>
      <c r="B369" s="9" t="n">
        <v>50.9</v>
      </c>
      <c r="C369" s="13" t="s">
        <v>78</v>
      </c>
      <c r="D369" s="13"/>
    </row>
    <row r="370" customFormat="false" ht="15" hidden="false" customHeight="false" outlineLevel="0" collapsed="false">
      <c r="A370" s="24" t="n">
        <v>42217</v>
      </c>
      <c r="B370" s="9" t="n">
        <v>42.87</v>
      </c>
      <c r="C370" s="13" t="s">
        <v>78</v>
      </c>
      <c r="D370" s="13"/>
    </row>
    <row r="371" customFormat="false" ht="15" hidden="false" customHeight="false" outlineLevel="0" collapsed="false">
      <c r="A371" s="24" t="n">
        <v>42248</v>
      </c>
      <c r="B371" s="9" t="n">
        <v>45.48</v>
      </c>
      <c r="C371" s="13" t="s">
        <v>78</v>
      </c>
      <c r="D371" s="13"/>
    </row>
    <row r="372" customFormat="false" ht="15" hidden="false" customHeight="false" outlineLevel="0" collapsed="false">
      <c r="A372" s="24" t="n">
        <v>42278</v>
      </c>
      <c r="B372" s="9" t="n">
        <v>46.22</v>
      </c>
      <c r="C372" s="13" t="s">
        <v>78</v>
      </c>
      <c r="D372" s="13"/>
    </row>
    <row r="373" customFormat="false" ht="15" hidden="false" customHeight="false" outlineLevel="0" collapsed="false">
      <c r="A373" s="24" t="n">
        <v>42309</v>
      </c>
      <c r="B373" s="9" t="n">
        <v>42.44</v>
      </c>
      <c r="C373" s="13" t="s">
        <v>78</v>
      </c>
      <c r="D373" s="13"/>
    </row>
    <row r="374" customFormat="false" ht="15" hidden="false" customHeight="false" outlineLevel="0" collapsed="false">
      <c r="A374" s="24" t="n">
        <v>42339</v>
      </c>
      <c r="B374" s="9" t="n">
        <v>37.19</v>
      </c>
      <c r="C374" s="13" t="s">
        <v>78</v>
      </c>
      <c r="D374" s="13"/>
    </row>
    <row r="375" customFormat="false" ht="15" hidden="false" customHeight="false" outlineLevel="0" collapsed="false">
      <c r="A375" s="24" t="n">
        <v>42370</v>
      </c>
      <c r="B375" s="9" t="n">
        <v>31.68</v>
      </c>
      <c r="C375" s="13" t="s">
        <v>78</v>
      </c>
      <c r="D375" s="13"/>
    </row>
    <row r="376" customFormat="false" ht="15" hidden="false" customHeight="false" outlineLevel="0" collapsed="false">
      <c r="A376" s="24" t="n">
        <v>42401</v>
      </c>
      <c r="B376" s="9" t="n">
        <v>30.32</v>
      </c>
      <c r="C376" s="13" t="s">
        <v>78</v>
      </c>
      <c r="D376" s="13"/>
    </row>
    <row r="377" customFormat="false" ht="15" hidden="false" customHeight="false" outlineLevel="0" collapsed="false">
      <c r="A377" s="24" t="n">
        <v>42430</v>
      </c>
      <c r="B377" s="9" t="n">
        <v>37.55</v>
      </c>
      <c r="C377" s="13" t="s">
        <v>78</v>
      </c>
      <c r="D377" s="13"/>
    </row>
    <row r="378" customFormat="false" ht="15" hidden="false" customHeight="false" outlineLevel="0" collapsed="false">
      <c r="A378" s="24" t="n">
        <v>42461</v>
      </c>
      <c r="B378" s="9" t="n">
        <v>40.75</v>
      </c>
      <c r="C378" s="13" t="s">
        <v>78</v>
      </c>
      <c r="D378" s="13"/>
    </row>
    <row r="379" customFormat="false" ht="15" hidden="false" customHeight="false" outlineLevel="0" collapsed="false">
      <c r="A379" s="24" t="n">
        <v>42491</v>
      </c>
      <c r="B379" s="9" t="n">
        <v>46.71</v>
      </c>
      <c r="C379" s="13" t="s">
        <v>78</v>
      </c>
      <c r="D379" s="13"/>
    </row>
    <row r="380" customFormat="false" ht="15" hidden="false" customHeight="false" outlineLevel="0" collapsed="false">
      <c r="A380" s="24" t="n">
        <v>42522</v>
      </c>
      <c r="B380" s="9" t="n">
        <v>48.76</v>
      </c>
      <c r="C380" s="13" t="s">
        <v>78</v>
      </c>
      <c r="D380" s="13"/>
    </row>
    <row r="381" customFormat="false" ht="15" hidden="false" customHeight="false" outlineLevel="0" collapsed="false">
      <c r="A381" s="24" t="n">
        <v>42552</v>
      </c>
      <c r="B381" s="9" t="n">
        <v>44.65</v>
      </c>
      <c r="C381" s="13" t="s">
        <v>78</v>
      </c>
      <c r="D381" s="13"/>
    </row>
    <row r="382" customFormat="false" ht="15" hidden="false" customHeight="false" outlineLevel="0" collapsed="false">
      <c r="A382" s="24" t="n">
        <v>42583</v>
      </c>
      <c r="B382" s="9" t="n">
        <v>44.72</v>
      </c>
      <c r="C382" s="13" t="s">
        <v>78</v>
      </c>
      <c r="D382" s="13"/>
    </row>
    <row r="383" customFormat="false" ht="15" hidden="false" customHeight="false" outlineLevel="0" collapsed="false">
      <c r="A383" s="24" t="n">
        <v>42614</v>
      </c>
      <c r="B383" s="9" t="n">
        <v>45.18</v>
      </c>
      <c r="C383" s="13" t="s">
        <v>78</v>
      </c>
      <c r="D383" s="13"/>
    </row>
    <row r="384" customFormat="false" ht="15" hidden="false" customHeight="false" outlineLevel="0" collapsed="false">
      <c r="A384" s="24" t="n">
        <v>42644</v>
      </c>
      <c r="B384" s="9" t="n">
        <v>49.78</v>
      </c>
      <c r="C384" s="13" t="s">
        <v>78</v>
      </c>
      <c r="D384" s="13"/>
    </row>
    <row r="385" customFormat="false" ht="15" hidden="false" customHeight="false" outlineLevel="0" collapsed="false">
      <c r="A385" s="24" t="n">
        <v>42675</v>
      </c>
      <c r="B385" s="9" t="n">
        <v>45.66</v>
      </c>
      <c r="C385" s="13" t="s">
        <v>78</v>
      </c>
      <c r="D385" s="13"/>
    </row>
    <row r="386" customFormat="false" ht="15" hidden="false" customHeight="false" outlineLevel="0" collapsed="false">
      <c r="A386" s="24" t="n">
        <v>42705</v>
      </c>
      <c r="B386" s="9" t="n">
        <v>51.97</v>
      </c>
      <c r="C386" s="13" t="s">
        <v>78</v>
      </c>
      <c r="D386" s="13"/>
    </row>
    <row r="387" customFormat="false" ht="15" hidden="false" customHeight="false" outlineLevel="0" collapsed="false">
      <c r="A387" s="24" t="n">
        <v>42736</v>
      </c>
      <c r="B387" s="9" t="n">
        <v>52.5</v>
      </c>
      <c r="C387" s="13" t="s">
        <v>78</v>
      </c>
      <c r="D387" s="13"/>
    </row>
    <row r="388" customFormat="false" ht="15" hidden="false" customHeight="false" outlineLevel="0" collapsed="false">
      <c r="A388" s="24" t="n">
        <v>42767</v>
      </c>
      <c r="B388" s="9" t="n">
        <v>53.47</v>
      </c>
      <c r="C388" s="13" t="s">
        <v>78</v>
      </c>
      <c r="D388" s="13"/>
    </row>
    <row r="389" customFormat="false" ht="15" hidden="false" customHeight="false" outlineLevel="0" collapsed="false">
      <c r="A389" s="24" t="n">
        <v>42795</v>
      </c>
      <c r="B389" s="9" t="n">
        <v>49.33</v>
      </c>
      <c r="C389" s="13" t="s">
        <v>78</v>
      </c>
      <c r="D389" s="13"/>
    </row>
    <row r="390" customFormat="false" ht="15" hidden="false" customHeight="false" outlineLevel="0" collapsed="false">
      <c r="A390" s="24" t="n">
        <v>42826</v>
      </c>
      <c r="B390" s="9" t="n">
        <v>51.06</v>
      </c>
      <c r="C390" s="13" t="s">
        <v>78</v>
      </c>
      <c r="D390" s="13"/>
    </row>
    <row r="391" customFormat="false" ht="15" hidden="false" customHeight="false" outlineLevel="0" collapsed="false">
      <c r="A391" s="24" t="n">
        <v>42856</v>
      </c>
      <c r="B391" s="9" t="n">
        <v>48.48</v>
      </c>
      <c r="C391" s="13" t="s">
        <v>78</v>
      </c>
      <c r="D391" s="13"/>
    </row>
    <row r="392" customFormat="false" ht="15" hidden="false" customHeight="false" outlineLevel="0" collapsed="false">
      <c r="A392" s="24" t="n">
        <v>42887</v>
      </c>
      <c r="B392" s="9" t="n">
        <v>45.18</v>
      </c>
      <c r="C392" s="13" t="s">
        <v>78</v>
      </c>
      <c r="D392" s="13"/>
    </row>
    <row r="393" customFormat="false" ht="15" hidden="false" customHeight="false" outlineLevel="0" collapsed="false">
      <c r="A393" s="24" t="n">
        <v>42917</v>
      </c>
      <c r="B393" s="9" t="n">
        <v>46.63</v>
      </c>
      <c r="C393" s="13" t="s">
        <v>78</v>
      </c>
      <c r="D393" s="13"/>
    </row>
    <row r="394" customFormat="false" ht="15" hidden="false" customHeight="false" outlineLevel="0" collapsed="false">
      <c r="A394" s="24" t="n">
        <v>42948</v>
      </c>
      <c r="B394" s="9" t="n">
        <v>48.04</v>
      </c>
      <c r="C394" s="13" t="s">
        <v>78</v>
      </c>
      <c r="D394" s="13"/>
    </row>
    <row r="395" customFormat="false" ht="15" hidden="false" customHeight="false" outlineLevel="0" collapsed="false">
      <c r="A395" s="24" t="n">
        <v>42979</v>
      </c>
      <c r="B395" s="9" t="n">
        <v>49.82</v>
      </c>
      <c r="C395" s="13" t="s">
        <v>78</v>
      </c>
      <c r="D395" s="13"/>
    </row>
    <row r="396" customFormat="false" ht="15" hidden="false" customHeight="false" outlineLevel="0" collapsed="false">
      <c r="A396" s="24" t="n">
        <v>43009</v>
      </c>
      <c r="B396" s="9" t="n">
        <v>51.58</v>
      </c>
      <c r="C396" s="13" t="s">
        <v>78</v>
      </c>
      <c r="D396" s="13"/>
    </row>
    <row r="397" customFormat="false" ht="15" hidden="false" customHeight="false" outlineLevel="0" collapsed="false">
      <c r="A397" s="24" t="n">
        <v>43040</v>
      </c>
      <c r="B397" s="9" t="n">
        <v>56.64</v>
      </c>
      <c r="C397" s="13" t="s">
        <v>78</v>
      </c>
      <c r="D397" s="13"/>
    </row>
    <row r="398" customFormat="false" ht="15" hidden="false" customHeight="false" outlineLevel="0" collapsed="false">
      <c r="A398" s="24" t="n">
        <v>43070</v>
      </c>
      <c r="B398" s="9" t="n">
        <v>57.88</v>
      </c>
      <c r="C398" s="13" t="s">
        <v>78</v>
      </c>
      <c r="D398" s="13"/>
    </row>
    <row r="399" customFormat="false" ht="15" hidden="false" customHeight="false" outlineLevel="0" collapsed="false">
      <c r="A399" s="24" t="n">
        <v>43101</v>
      </c>
      <c r="B399" s="9" t="n">
        <v>63.7</v>
      </c>
      <c r="C399" s="13" t="s">
        <v>78</v>
      </c>
      <c r="D399" s="13"/>
    </row>
    <row r="400" customFormat="false" ht="15" hidden="false" customHeight="false" outlineLevel="0" collapsed="false">
      <c r="A400" s="24" t="n">
        <v>43132</v>
      </c>
      <c r="B400" s="9" t="n">
        <v>62.23</v>
      </c>
      <c r="C400" s="13" t="s">
        <v>78</v>
      </c>
      <c r="D400" s="13"/>
    </row>
    <row r="401" customFormat="false" ht="15" hidden="false" customHeight="false" outlineLevel="0" collapsed="false">
      <c r="A401" s="24" t="n">
        <v>43160</v>
      </c>
      <c r="B401" s="9" t="n">
        <v>62.73</v>
      </c>
      <c r="C401" s="13" t="s">
        <v>78</v>
      </c>
      <c r="D401" s="13"/>
    </row>
    <row r="402" customFormat="false" ht="15" hidden="false" customHeight="false" outlineLevel="0" collapsed="false">
      <c r="A402" s="24" t="n">
        <v>43191</v>
      </c>
      <c r="B402" s="9" t="n">
        <v>66.25</v>
      </c>
      <c r="C402" s="13" t="s">
        <v>78</v>
      </c>
      <c r="D402" s="13"/>
    </row>
    <row r="403" customFormat="false" ht="15" hidden="false" customHeight="false" outlineLevel="0" collapsed="false">
      <c r="A403" s="24" t="n">
        <v>43221</v>
      </c>
      <c r="B403" s="9" t="n">
        <v>69.98</v>
      </c>
      <c r="C403" s="13" t="s">
        <v>78</v>
      </c>
      <c r="D403" s="13"/>
    </row>
    <row r="404" customFormat="false" ht="15" hidden="false" customHeight="false" outlineLevel="0" collapsed="false">
      <c r="A404" s="24" t="n">
        <v>43252</v>
      </c>
      <c r="B404" s="9" t="n">
        <v>67.87</v>
      </c>
      <c r="C404" s="13" t="s">
        <v>78</v>
      </c>
      <c r="D404" s="13"/>
    </row>
    <row r="405" customFormat="false" ht="15" hidden="false" customHeight="false" outlineLevel="0" collapsed="false">
      <c r="A405" s="24" t="n">
        <v>43282</v>
      </c>
      <c r="B405" s="9" t="n">
        <v>70.98</v>
      </c>
      <c r="C405" s="13" t="s">
        <v>78</v>
      </c>
      <c r="D405" s="13"/>
    </row>
    <row r="406" customFormat="false" ht="15" hidden="false" customHeight="false" outlineLevel="0" collapsed="false">
      <c r="A406" s="24" t="n">
        <v>43313</v>
      </c>
      <c r="B406" s="9" t="n">
        <v>68.06</v>
      </c>
      <c r="C406" s="13" t="s">
        <v>78</v>
      </c>
      <c r="D406" s="13"/>
    </row>
    <row r="407" customFormat="false" ht="15" hidden="false" customHeight="false" outlineLevel="0" collapsed="false">
      <c r="A407" s="24" t="n">
        <v>43344</v>
      </c>
      <c r="B407" s="9" t="n">
        <v>70.23</v>
      </c>
      <c r="C407" s="13" t="s">
        <v>78</v>
      </c>
      <c r="D407" s="13"/>
    </row>
    <row r="408" customFormat="false" ht="15" hidden="false" customHeight="false" outlineLevel="0" collapsed="false">
      <c r="A408" s="24" t="n">
        <v>43374</v>
      </c>
      <c r="B408" s="9" t="n">
        <v>70.75</v>
      </c>
      <c r="C408" s="13" t="s">
        <v>78</v>
      </c>
      <c r="D408" s="13"/>
    </row>
    <row r="409" customFormat="false" ht="15" hidden="false" customHeight="false" outlineLevel="0" collapsed="false">
      <c r="A409" s="24" t="n">
        <v>43405</v>
      </c>
      <c r="B409" s="9" t="n">
        <v>56.96</v>
      </c>
      <c r="C409" s="13" t="s">
        <v>78</v>
      </c>
      <c r="D409" s="13"/>
    </row>
    <row r="410" customFormat="false" ht="15" hidden="false" customHeight="false" outlineLevel="0" collapsed="false">
      <c r="A410" s="24" t="n">
        <v>43435</v>
      </c>
      <c r="B410" s="9" t="n">
        <v>49.52</v>
      </c>
      <c r="C410" s="13" t="s">
        <v>78</v>
      </c>
      <c r="D410" s="13"/>
    </row>
    <row r="411" customFormat="false" ht="15" hidden="false" customHeight="false" outlineLevel="0" collapsed="false">
      <c r="A411" s="24" t="n">
        <v>43466</v>
      </c>
      <c r="B411" s="9" t="n">
        <v>51.38</v>
      </c>
      <c r="C411" s="13" t="s">
        <v>78</v>
      </c>
      <c r="D411" s="13"/>
    </row>
    <row r="412" customFormat="false" ht="15" hidden="false" customHeight="false" outlineLevel="0" collapsed="false">
      <c r="A412" s="24" t="n">
        <v>43497</v>
      </c>
      <c r="B412" s="9" t="n">
        <v>54.95</v>
      </c>
      <c r="C412" s="13" t="s">
        <v>78</v>
      </c>
      <c r="D412" s="13"/>
    </row>
    <row r="413" customFormat="false" ht="15" hidden="false" customHeight="false" outlineLevel="0" collapsed="false">
      <c r="A413" s="24" t="n">
        <v>43525</v>
      </c>
      <c r="B413" s="9" t="n">
        <v>58.15</v>
      </c>
      <c r="C413" s="13" t="s">
        <v>78</v>
      </c>
      <c r="D413" s="13"/>
    </row>
    <row r="414" customFormat="false" ht="15" hidden="false" customHeight="false" outlineLevel="0" collapsed="false">
      <c r="A414" s="24" t="n">
        <v>43556</v>
      </c>
      <c r="B414" s="9" t="n">
        <v>63.86</v>
      </c>
      <c r="C414" s="13" t="s">
        <v>78</v>
      </c>
      <c r="D414" s="13"/>
    </row>
    <row r="415" customFormat="false" ht="15" hidden="false" customHeight="false" outlineLevel="0" collapsed="false">
      <c r="A415" s="24" t="n">
        <v>43586</v>
      </c>
      <c r="B415" s="9" t="n">
        <v>60.83</v>
      </c>
      <c r="C415" s="13" t="s">
        <v>78</v>
      </c>
      <c r="D415" s="13"/>
    </row>
    <row r="416" customFormat="false" ht="15" hidden="false" customHeight="false" outlineLevel="0" collapsed="false">
      <c r="A416" s="24" t="n">
        <v>43617</v>
      </c>
      <c r="B416" s="9" t="n">
        <v>54.66</v>
      </c>
      <c r="C416" s="13" t="s">
        <v>78</v>
      </c>
      <c r="D416" s="13"/>
    </row>
    <row r="417" customFormat="false" ht="15" hidden="false" customHeight="false" outlineLevel="0" collapsed="false">
      <c r="A417" s="24" t="n">
        <v>43647</v>
      </c>
      <c r="B417" s="9" t="n">
        <v>57.35</v>
      </c>
      <c r="C417" s="13" t="s">
        <v>78</v>
      </c>
      <c r="D417" s="13"/>
    </row>
    <row r="418" customFormat="false" ht="15" hidden="false" customHeight="false" outlineLevel="0" collapsed="false">
      <c r="A418" s="24" t="n">
        <v>43678</v>
      </c>
      <c r="B418" s="9" t="n">
        <v>54.81</v>
      </c>
      <c r="C418" s="13" t="s">
        <v>78</v>
      </c>
      <c r="D418" s="13"/>
    </row>
    <row r="419" customFormat="false" ht="15" hidden="false" customHeight="false" outlineLevel="0" collapsed="false">
      <c r="A419" s="24" t="n">
        <v>43709</v>
      </c>
      <c r="B419" s="9" t="n">
        <v>56.95</v>
      </c>
      <c r="C419" s="13" t="s">
        <v>78</v>
      </c>
      <c r="D419" s="13"/>
    </row>
    <row r="420" customFormat="false" ht="15" hidden="false" customHeight="false" outlineLevel="0" collapsed="false">
      <c r="A420" s="24" t="n">
        <v>43739</v>
      </c>
      <c r="B420" s="9" t="n">
        <v>53.96</v>
      </c>
      <c r="C420" s="13" t="s">
        <v>78</v>
      </c>
      <c r="D420" s="13"/>
    </row>
    <row r="421" customFormat="false" ht="15" hidden="false" customHeight="false" outlineLevel="0" collapsed="false">
      <c r="A421" s="24" t="n">
        <v>43770</v>
      </c>
      <c r="B421" s="9" t="n">
        <v>57.03</v>
      </c>
      <c r="C421" s="13" t="s">
        <v>78</v>
      </c>
      <c r="D421" s="13"/>
    </row>
    <row r="422" customFormat="false" ht="15" hidden="false" customHeight="false" outlineLevel="0" collapsed="false">
      <c r="A422" s="24" t="n">
        <v>43800</v>
      </c>
      <c r="B422" s="9" t="n">
        <v>59.88</v>
      </c>
      <c r="C422" s="13" t="s">
        <v>78</v>
      </c>
      <c r="D422" s="13"/>
    </row>
    <row r="423" customFormat="false" ht="15" hidden="false" customHeight="false" outlineLevel="0" collapsed="false">
      <c r="A423" s="24" t="n">
        <v>43831</v>
      </c>
      <c r="B423" s="9" t="n">
        <v>57.52</v>
      </c>
      <c r="C423" s="13" t="s">
        <v>78</v>
      </c>
      <c r="D423" s="13"/>
    </row>
    <row r="424" customFormat="false" ht="15" hidden="false" customHeight="false" outlineLevel="0" collapsed="false">
      <c r="A424" s="24" t="n">
        <v>43862</v>
      </c>
      <c r="B424" s="9" t="n">
        <v>50.54</v>
      </c>
      <c r="C424" s="13" t="s">
        <v>78</v>
      </c>
      <c r="D424" s="13"/>
    </row>
    <row r="425" customFormat="false" ht="15" hidden="false" customHeight="false" outlineLevel="0" collapsed="false">
      <c r="A425" s="24" t="n">
        <v>43891</v>
      </c>
      <c r="B425" s="9" t="n">
        <v>29.21</v>
      </c>
      <c r="C425" s="13" t="s">
        <v>78</v>
      </c>
      <c r="D425" s="13"/>
    </row>
    <row r="426" customFormat="false" ht="15" hidden="false" customHeight="false" outlineLevel="0" collapsed="false">
      <c r="A426" s="24" t="n">
        <v>43922</v>
      </c>
      <c r="B426" s="9" t="n">
        <v>16.55</v>
      </c>
      <c r="C426" s="13" t="s">
        <v>78</v>
      </c>
      <c r="D426" s="13"/>
    </row>
    <row r="427" customFormat="false" ht="15" hidden="false" customHeight="false" outlineLevel="0" collapsed="false">
      <c r="A427" s="24" t="n">
        <v>43952</v>
      </c>
      <c r="B427" s="9" t="n">
        <v>28.56</v>
      </c>
      <c r="C427" s="13" t="s">
        <v>78</v>
      </c>
      <c r="D427" s="13"/>
    </row>
    <row r="428" customFormat="false" ht="15" hidden="false" customHeight="false" outlineLevel="0" collapsed="false">
      <c r="A428" s="24" t="n">
        <v>43983</v>
      </c>
      <c r="B428" s="9" t="n">
        <v>38.31</v>
      </c>
      <c r="C428" s="13" t="s">
        <v>78</v>
      </c>
      <c r="D428" s="13"/>
    </row>
    <row r="429" customFormat="false" ht="15" hidden="false" customHeight="false" outlineLevel="0" collapsed="false">
      <c r="A429" s="24" t="n">
        <v>44013</v>
      </c>
      <c r="B429" s="9" t="n">
        <v>40.71</v>
      </c>
      <c r="C429" s="13" t="s">
        <v>78</v>
      </c>
      <c r="D429" s="13"/>
    </row>
    <row r="430" customFormat="false" ht="15" hidden="false" customHeight="false" outlineLevel="0" collapsed="false">
      <c r="A430" s="24" t="n">
        <v>44044</v>
      </c>
      <c r="B430" s="9" t="n">
        <v>42.34</v>
      </c>
      <c r="C430" s="13" t="s">
        <v>78</v>
      </c>
      <c r="D430" s="13"/>
    </row>
    <row r="431" customFormat="false" ht="15" hidden="false" customHeight="false" outlineLevel="0" collapsed="false">
      <c r="A431" s="24" t="n">
        <v>44075</v>
      </c>
      <c r="B431" s="9" t="n">
        <v>39.63</v>
      </c>
      <c r="C431" s="13" t="s">
        <v>78</v>
      </c>
      <c r="D431" s="13"/>
    </row>
    <row r="432" customFormat="false" ht="15" hidden="false" customHeight="false" outlineLevel="0" collapsed="false">
      <c r="A432" s="24" t="n">
        <v>44105</v>
      </c>
      <c r="B432" s="9" t="n">
        <v>39.4</v>
      </c>
      <c r="C432" s="13" t="s">
        <v>78</v>
      </c>
      <c r="D432" s="13"/>
    </row>
    <row r="433" customFormat="false" ht="15" hidden="false" customHeight="false" outlineLevel="0" collapsed="false">
      <c r="A433" s="24" t="n">
        <v>44136</v>
      </c>
      <c r="B433" s="9" t="n">
        <v>40.94</v>
      </c>
      <c r="C433" s="13" t="s">
        <v>78</v>
      </c>
      <c r="D433" s="13"/>
    </row>
    <row r="434" customFormat="false" ht="15" hidden="false" customHeight="false" outlineLevel="0" collapsed="false">
      <c r="A434" s="24" t="n">
        <v>44166</v>
      </c>
      <c r="B434" s="9" t="n">
        <v>47.02</v>
      </c>
      <c r="C434" s="13" t="s">
        <v>78</v>
      </c>
      <c r="D434" s="13"/>
    </row>
    <row r="435" customFormat="false" ht="15" hidden="false" customHeight="false" outlineLevel="0" collapsed="false">
      <c r="A435" s="24" t="n">
        <v>44197</v>
      </c>
      <c r="B435" s="9" t="n">
        <v>52</v>
      </c>
      <c r="C435" s="13" t="s">
        <v>78</v>
      </c>
      <c r="D435" s="13"/>
    </row>
    <row r="436" customFormat="false" ht="15" hidden="false" customHeight="false" outlineLevel="0" collapsed="false">
      <c r="A436" s="24" t="n">
        <v>44228</v>
      </c>
      <c r="B436" s="9" t="n">
        <v>59.04</v>
      </c>
      <c r="C436" s="13" t="s">
        <v>78</v>
      </c>
      <c r="D436" s="13"/>
    </row>
    <row r="437" customFormat="false" ht="15" hidden="false" customHeight="false" outlineLevel="0" collapsed="false">
      <c r="A437" s="24" t="n">
        <v>44256</v>
      </c>
      <c r="B437" s="9" t="n">
        <v>62.33</v>
      </c>
      <c r="C437" s="13" t="s">
        <v>78</v>
      </c>
      <c r="D437" s="13"/>
    </row>
    <row r="438" customFormat="false" ht="15" hidden="false" customHeight="false" outlineLevel="0" collapsed="false">
      <c r="A438" s="24" t="n">
        <v>44287</v>
      </c>
      <c r="B438" s="9" t="n">
        <v>61.72</v>
      </c>
      <c r="C438" s="13" t="s">
        <v>78</v>
      </c>
      <c r="D438" s="13"/>
    </row>
    <row r="439" customFormat="false" ht="15" hidden="false" customHeight="false" outlineLevel="0" collapsed="false">
      <c r="A439" s="24" t="n">
        <v>44317</v>
      </c>
      <c r="B439" s="9" t="n">
        <v>65.17</v>
      </c>
      <c r="C439" s="13" t="s">
        <v>78</v>
      </c>
      <c r="D439" s="13"/>
    </row>
    <row r="440" customFormat="false" ht="15" hidden="false" customHeight="false" outlineLevel="0" collapsed="false">
      <c r="A440" s="24" t="n">
        <v>44348</v>
      </c>
      <c r="B440" s="9" t="n">
        <v>71.38</v>
      </c>
      <c r="C440" s="13" t="s">
        <v>78</v>
      </c>
      <c r="D440" s="13"/>
    </row>
    <row r="441" customFormat="false" ht="15" hidden="false" customHeight="false" outlineLevel="0" collapsed="false">
      <c r="A441" s="24" t="n">
        <v>44378</v>
      </c>
      <c r="B441" s="9" t="n">
        <v>72.49</v>
      </c>
      <c r="C441" s="13" t="s">
        <v>78</v>
      </c>
      <c r="D441" s="13"/>
    </row>
    <row r="442" customFormat="false" ht="15" hidden="false" customHeight="false" outlineLevel="0" collapsed="false">
      <c r="A442" s="24" t="n">
        <v>44409</v>
      </c>
      <c r="B442" s="9" t="n">
        <v>67.7</v>
      </c>
      <c r="C442" s="13" t="s">
        <v>78</v>
      </c>
      <c r="D442" s="13"/>
    </row>
    <row r="443" customFormat="false" ht="15" hidden="false" customHeight="false" outlineLevel="0" collapsed="false">
      <c r="A443" s="24" t="n">
        <v>44440</v>
      </c>
      <c r="B443" s="9" t="n">
        <v>71.65</v>
      </c>
      <c r="C443" s="13" t="s">
        <v>78</v>
      </c>
      <c r="D443" s="13"/>
    </row>
    <row r="444" customFormat="false" ht="15" hidden="false" customHeight="false" outlineLevel="0" collapsed="false">
      <c r="A444" s="24" t="n">
        <v>44470</v>
      </c>
      <c r="B444" s="9" t="n">
        <v>81.48</v>
      </c>
      <c r="C444" s="13" t="s">
        <v>78</v>
      </c>
      <c r="D444" s="13"/>
    </row>
    <row r="445" customFormat="false" ht="15" hidden="false" customHeight="false" outlineLevel="0" collapsed="false">
      <c r="A445" s="24" t="n">
        <v>44501</v>
      </c>
      <c r="B445" s="9" t="n">
        <v>79.15</v>
      </c>
      <c r="C445" s="13" t="s">
        <v>78</v>
      </c>
      <c r="D445" s="13"/>
    </row>
    <row r="446" customFormat="false" ht="15" hidden="false" customHeight="false" outlineLevel="0" collapsed="false">
      <c r="A446" s="24" t="n">
        <v>44531</v>
      </c>
      <c r="B446" s="9" t="n">
        <v>71.71</v>
      </c>
      <c r="C446" s="13" t="s">
        <v>78</v>
      </c>
      <c r="D446" s="13"/>
    </row>
    <row r="447" customFormat="false" ht="15" hidden="false" customHeight="false" outlineLevel="0" collapsed="false">
      <c r="A447" s="24" t="n">
        <v>44562</v>
      </c>
      <c r="B447" s="9" t="n">
        <v>83.22</v>
      </c>
      <c r="C447" s="13" t="s">
        <v>78</v>
      </c>
      <c r="D447" s="13"/>
    </row>
    <row r="448" customFormat="false" ht="15" hidden="false" customHeight="false" outlineLevel="0" collapsed="false">
      <c r="A448" s="24" t="n">
        <v>44593</v>
      </c>
      <c r="B448" s="9" t="n">
        <v>91.64</v>
      </c>
      <c r="C448" s="13" t="s">
        <v>78</v>
      </c>
      <c r="D448" s="13"/>
    </row>
    <row r="449" customFormat="false" ht="15" hidden="false" customHeight="false" outlineLevel="0" collapsed="false">
      <c r="A449" s="24" t="n">
        <v>44621</v>
      </c>
      <c r="B449" s="9" t="n">
        <v>108.5</v>
      </c>
      <c r="C449" s="13" t="s">
        <v>78</v>
      </c>
      <c r="D449" s="13"/>
    </row>
    <row r="450" customFormat="false" ht="15" hidden="false" customHeight="false" outlineLevel="0" collapsed="false">
      <c r="A450" s="24" t="n">
        <v>44652</v>
      </c>
      <c r="B450" s="9" t="n">
        <v>101.78</v>
      </c>
      <c r="C450" s="13" t="s">
        <v>78</v>
      </c>
      <c r="D450" s="13"/>
    </row>
    <row r="451" customFormat="false" ht="15" hidden="false" customHeight="false" outlineLevel="0" collapsed="false">
      <c r="A451" s="24" t="n">
        <v>44682</v>
      </c>
      <c r="B451" s="9" t="n">
        <v>109.55</v>
      </c>
      <c r="C451" s="13" t="s">
        <v>78</v>
      </c>
      <c r="D451" s="13"/>
    </row>
    <row r="452" customFormat="false" ht="15" hidden="false" customHeight="false" outlineLevel="0" collapsed="false">
      <c r="A452" s="24" t="n">
        <v>44713</v>
      </c>
      <c r="B452" s="9" t="n">
        <v>114.84</v>
      </c>
      <c r="C452" s="13" t="s">
        <v>78</v>
      </c>
      <c r="D452" s="13"/>
    </row>
    <row r="453" customFormat="false" ht="15" hidden="false" customHeight="false" outlineLevel="0" collapsed="false">
      <c r="A453" s="24" t="n">
        <v>44743</v>
      </c>
      <c r="B453" s="9" t="n">
        <v>101.62</v>
      </c>
      <c r="C453" s="13" t="s">
        <v>78</v>
      </c>
      <c r="D453" s="13"/>
    </row>
    <row r="454" customFormat="false" ht="15" hidden="false" customHeight="false" outlineLevel="0" collapsed="false">
      <c r="A454" s="24" t="n">
        <v>44774</v>
      </c>
      <c r="B454" s="9" t="n">
        <v>93.67</v>
      </c>
      <c r="C454" s="13" t="s">
        <v>78</v>
      </c>
      <c r="D454" s="13"/>
    </row>
    <row r="455" customFormat="false" ht="15" hidden="false" customHeight="false" outlineLevel="0" collapsed="false">
      <c r="A455" s="24" t="n">
        <v>44805</v>
      </c>
      <c r="B455" s="9" t="n">
        <v>84.26</v>
      </c>
      <c r="C455" s="13" t="s">
        <v>78</v>
      </c>
      <c r="D455" s="13"/>
    </row>
    <row r="456" customFormat="false" ht="15" hidden="false" customHeight="false" outlineLevel="0" collapsed="false">
      <c r="A456" s="24" t="n">
        <v>44835</v>
      </c>
      <c r="B456" s="9" t="n">
        <v>87.55</v>
      </c>
      <c r="C456" s="13" t="s">
        <v>78</v>
      </c>
      <c r="D456" s="13"/>
    </row>
    <row r="457" customFormat="false" ht="15" hidden="false" customHeight="false" outlineLevel="0" collapsed="false">
      <c r="A457" s="24" t="n">
        <v>44866</v>
      </c>
      <c r="B457" s="9" t="n">
        <v>84.37</v>
      </c>
      <c r="C457" s="13" t="s">
        <v>78</v>
      </c>
      <c r="D457" s="13"/>
    </row>
    <row r="458" customFormat="false" ht="15" hidden="false" customHeight="false" outlineLevel="0" collapsed="false">
      <c r="A458" s="24" t="n">
        <v>44896</v>
      </c>
      <c r="B458" s="9" t="n">
        <v>76.44</v>
      </c>
      <c r="C458" s="13" t="s">
        <v>78</v>
      </c>
      <c r="D458" s="13"/>
    </row>
    <row r="459" customFormat="false" ht="15" hidden="false" customHeight="false" outlineLevel="0" collapsed="false">
      <c r="A459" s="24" t="n">
        <v>44927</v>
      </c>
      <c r="B459" s="9" t="n">
        <v>78.12</v>
      </c>
      <c r="C459" s="13" t="s">
        <v>78</v>
      </c>
      <c r="D459" s="13"/>
    </row>
    <row r="460" customFormat="false" ht="15" hidden="false" customHeight="false" outlineLevel="0" collapsed="false">
      <c r="A460" s="24" t="n">
        <v>44958</v>
      </c>
      <c r="B460" s="9" t="n">
        <v>76.83</v>
      </c>
      <c r="C460" s="13" t="s">
        <v>78</v>
      </c>
      <c r="D460" s="13"/>
    </row>
    <row r="461" customFormat="false" ht="15" hidden="false" customHeight="false" outlineLevel="0" collapsed="false">
      <c r="A461" s="24" t="n">
        <v>44986</v>
      </c>
      <c r="B461" s="9" t="n">
        <v>73.28</v>
      </c>
      <c r="C461" s="13" t="s">
        <v>78</v>
      </c>
      <c r="D461" s="13"/>
    </row>
    <row r="462" customFormat="false" ht="15" hidden="false" customHeight="false" outlineLevel="0" collapsed="false">
      <c r="A462" s="24" t="n">
        <v>45017</v>
      </c>
      <c r="B462" s="9" t="n">
        <v>79.45</v>
      </c>
      <c r="C462" s="13" t="s">
        <v>78</v>
      </c>
      <c r="D462" s="13"/>
    </row>
    <row r="463" customFormat="false" ht="15" hidden="false" customHeight="false" outlineLevel="0" collapsed="false">
      <c r="A463" s="24" t="n">
        <v>45047</v>
      </c>
      <c r="B463" s="9" t="n">
        <v>71.58</v>
      </c>
      <c r="C463" s="13" t="s">
        <v>78</v>
      </c>
      <c r="D463" s="13"/>
    </row>
    <row r="464" customFormat="false" ht="15" hidden="false" customHeight="false" outlineLevel="0" collapsed="false">
      <c r="A464" s="24" t="n">
        <v>45078</v>
      </c>
      <c r="B464" s="9" t="n">
        <v>70.25</v>
      </c>
      <c r="C464" s="13" t="s">
        <v>78</v>
      </c>
      <c r="D464" s="13"/>
    </row>
    <row r="465" customFormat="false" ht="15" hidden="false" customHeight="false" outlineLevel="0" collapsed="false">
      <c r="A465" s="24" t="n">
        <v>45108</v>
      </c>
      <c r="B465" s="9" t="n">
        <v>76.07</v>
      </c>
      <c r="C465" s="13" t="s">
        <v>78</v>
      </c>
      <c r="D465" s="13"/>
    </row>
    <row r="466" customFormat="false" ht="15" hidden="false" customHeight="false" outlineLevel="0" collapsed="false">
      <c r="A466" s="24" t="n">
        <v>45139</v>
      </c>
      <c r="B466" s="9" t="n">
        <v>81.39</v>
      </c>
      <c r="C466" s="13" t="s">
        <v>78</v>
      </c>
      <c r="D466" s="13"/>
    </row>
    <row r="467" customFormat="false" ht="15" hidden="false" customHeight="false" outlineLevel="0" collapsed="false">
      <c r="A467" s="24" t="n">
        <v>45170</v>
      </c>
      <c r="B467" s="9" t="n">
        <v>89.43</v>
      </c>
      <c r="C467" s="13" t="s">
        <v>78</v>
      </c>
      <c r="D467" s="13"/>
    </row>
    <row r="468" customFormat="false" ht="15" hidden="false" customHeight="false" outlineLevel="0" collapsed="false">
      <c r="A468" s="24" t="n">
        <v>45200</v>
      </c>
      <c r="B468" s="9" t="n">
        <v>85.64</v>
      </c>
      <c r="C468" s="13" t="s">
        <v>78</v>
      </c>
      <c r="D468" s="13"/>
    </row>
    <row r="469" customFormat="false" ht="15" hidden="false" customHeight="false" outlineLevel="0" collapsed="false">
      <c r="A469" s="24" t="n">
        <v>45231</v>
      </c>
      <c r="B469" s="9" t="n">
        <v>77.69</v>
      </c>
      <c r="C469" s="13" t="s">
        <v>78</v>
      </c>
      <c r="D469" s="13"/>
    </row>
    <row r="470" customFormat="false" ht="15" hidden="false" customHeight="false" outlineLevel="0" collapsed="false">
      <c r="A470" s="24" t="n">
        <v>45261</v>
      </c>
      <c r="B470" s="9" t="n">
        <v>71.9</v>
      </c>
      <c r="C470" s="13" t="s">
        <v>78</v>
      </c>
      <c r="D470" s="13"/>
    </row>
    <row r="471" customFormat="false" ht="15" hidden="false" customHeight="false" outlineLevel="0" collapsed="false">
      <c r="A471" s="24" t="n">
        <v>45292</v>
      </c>
      <c r="B471" s="9" t="n">
        <v>74.15</v>
      </c>
      <c r="C471" s="13" t="s">
        <v>78</v>
      </c>
      <c r="D471" s="13"/>
    </row>
    <row r="472" customFormat="false" ht="15" hidden="false" customHeight="false" outlineLevel="0" collapsed="false">
      <c r="A472" s="24" t="n">
        <v>45323</v>
      </c>
      <c r="B472" s="9" t="n">
        <v>77.25</v>
      </c>
      <c r="C472" s="13" t="s">
        <v>78</v>
      </c>
      <c r="D472" s="13"/>
    </row>
    <row r="473" customFormat="false" ht="15" hidden="false" customHeight="false" outlineLevel="0" collapsed="false">
      <c r="A473" s="24" t="n">
        <v>45352</v>
      </c>
      <c r="B473" s="9" t="n">
        <v>81.28</v>
      </c>
      <c r="C473" s="13" t="s">
        <v>78</v>
      </c>
      <c r="D473" s="13"/>
    </row>
    <row r="474" customFormat="false" ht="15" hidden="false" customHeight="false" outlineLevel="0" collapsed="false">
      <c r="A474" s="24" t="n">
        <v>45383</v>
      </c>
      <c r="B474" s="9" t="n">
        <v>85.35</v>
      </c>
      <c r="C474" s="13" t="s">
        <v>78</v>
      </c>
      <c r="D474" s="13"/>
    </row>
    <row r="475" customFormat="false" ht="15" hidden="false" customHeight="false" outlineLevel="0" collapsed="false">
      <c r="A475" s="24" t="n">
        <v>45413</v>
      </c>
      <c r="B475" s="9" t="n">
        <v>80.02</v>
      </c>
      <c r="C475" s="13" t="s">
        <v>78</v>
      </c>
      <c r="D475" s="13"/>
    </row>
    <row r="476" customFormat="false" ht="15" hidden="false" customHeight="false" outlineLevel="0" collapsed="false">
      <c r="A476" s="24" t="n">
        <v>45444</v>
      </c>
      <c r="B476" s="9" t="n">
        <v>79.77</v>
      </c>
      <c r="C476" s="13" t="s">
        <v>78</v>
      </c>
      <c r="D476" s="13"/>
    </row>
    <row r="477" customFormat="false" ht="15" hidden="false" customHeight="false" outlineLevel="0" collapsed="false">
      <c r="A477" s="24" t="n">
        <v>45474</v>
      </c>
      <c r="B477" s="9" t="n">
        <v>81.8</v>
      </c>
      <c r="C477" s="13" t="s">
        <v>78</v>
      </c>
      <c r="D477" s="13"/>
    </row>
    <row r="478" customFormat="false" ht="15" hidden="false" customHeight="false" outlineLevel="0" collapsed="false">
      <c r="A478" s="24" t="n">
        <v>45505</v>
      </c>
      <c r="B478" s="9" t="n">
        <v>76.68</v>
      </c>
      <c r="C478" s="13" t="s">
        <v>78</v>
      </c>
      <c r="D478" s="13"/>
    </row>
    <row r="479" customFormat="false" ht="15" hidden="false" customHeight="false" outlineLevel="0" collapsed="false">
      <c r="A479" s="24" t="n">
        <v>45536</v>
      </c>
      <c r="B479" s="9" t="n">
        <v>70.24</v>
      </c>
      <c r="C479" s="13" t="s">
        <v>78</v>
      </c>
      <c r="D479" s="13"/>
    </row>
    <row r="480" customFormat="false" ht="15" hidden="false" customHeight="false" outlineLevel="0" collapsed="false">
      <c r="A480" s="24" t="n">
        <v>45566</v>
      </c>
      <c r="B480" s="9" t="n">
        <v>71.99</v>
      </c>
      <c r="C480" s="13" t="s">
        <v>78</v>
      </c>
      <c r="D480" s="13"/>
    </row>
    <row r="481" customFormat="false" ht="15" hidden="false" customHeight="false" outlineLevel="0" collapsed="false">
      <c r="A481" s="24" t="n">
        <v>45597</v>
      </c>
      <c r="B481" s="9" t="n">
        <v>69.95</v>
      </c>
      <c r="C481" s="13" t="s">
        <v>78</v>
      </c>
      <c r="D481" s="13"/>
    </row>
    <row r="482" customFormat="false" ht="15" hidden="false" customHeight="false" outlineLevel="0" collapsed="false">
      <c r="A482" s="24" t="n">
        <v>45627</v>
      </c>
      <c r="B482" s="9" t="n">
        <v>70.12</v>
      </c>
      <c r="C482" s="13" t="s">
        <v>78</v>
      </c>
      <c r="D482" s="13"/>
    </row>
    <row r="483" customFormat="false" ht="15" hidden="false" customHeight="false" outlineLevel="0" collapsed="false">
      <c r="A483" s="24" t="n">
        <v>45658</v>
      </c>
      <c r="B483" s="9" t="n">
        <v>75.74</v>
      </c>
      <c r="C483" s="13" t="s">
        <v>78</v>
      </c>
      <c r="D483" s="13"/>
    </row>
    <row r="484" customFormat="false" ht="15" hidden="false" customHeight="false" outlineLevel="0" collapsed="false">
      <c r="A484" s="24" t="n">
        <v>45689</v>
      </c>
      <c r="B484" s="9" t="n">
        <v>71.53</v>
      </c>
      <c r="C484" s="13" t="s">
        <v>78</v>
      </c>
      <c r="D484" s="13"/>
    </row>
    <row r="485" customFormat="false" ht="15" hidden="false" customHeight="false" outlineLevel="0" collapsed="false">
      <c r="A485" s="24" t="n">
        <v>45717</v>
      </c>
      <c r="B485" s="9" t="n">
        <v>68.24</v>
      </c>
      <c r="C485" s="13" t="s">
        <v>78</v>
      </c>
      <c r="D485" s="13"/>
    </row>
    <row r="486" customFormat="false" ht="15" hidden="false" customHeight="false" outlineLevel="0" collapsed="false">
      <c r="A486" s="24" t="n">
        <v>45748</v>
      </c>
      <c r="B486" s="9" t="n">
        <v>63.54</v>
      </c>
      <c r="C486" s="13" t="s">
        <v>78</v>
      </c>
      <c r="D486" s="13"/>
    </row>
    <row r="487" customFormat="false" ht="15" hidden="false" customHeight="false" outlineLevel="0" collapsed="false">
      <c r="A487" s="24" t="n">
        <v>45778</v>
      </c>
      <c r="B487" s="9" t="n">
        <v>62.17</v>
      </c>
      <c r="C487" s="13" t="s">
        <v>78</v>
      </c>
      <c r="D487" s="13"/>
    </row>
    <row r="488" customFormat="false" ht="15" hidden="false" customHeight="false" outlineLevel="0" collapsed="false">
      <c r="A488" s="24" t="n">
        <v>45809</v>
      </c>
      <c r="B488" s="9" t="n">
        <v>68.17</v>
      </c>
      <c r="C488" s="13" t="s">
        <v>78</v>
      </c>
      <c r="D488" s="13"/>
    </row>
    <row r="489" customFormat="false" ht="15" hidden="false" customHeight="false" outlineLevel="0" collapsed="false">
      <c r="A489" s="24" t="n">
        <v>45839</v>
      </c>
      <c r="B489" s="9" t="n">
        <v>68.39</v>
      </c>
      <c r="C489" s="13" t="s">
        <v>78</v>
      </c>
      <c r="D489" s="13"/>
    </row>
    <row r="490" customFormat="false" ht="15" hidden="false" customHeight="false" outlineLevel="0" collapsed="false">
      <c r="A490" s="24" t="n">
        <v>45870</v>
      </c>
      <c r="B490" s="9" t="n">
        <v>64.86</v>
      </c>
      <c r="C490" s="13" t="s">
        <v>78</v>
      </c>
      <c r="D490" s="13"/>
    </row>
    <row r="491" customFormat="false" ht="15" hidden="false" customHeight="false" outlineLevel="0" collapsed="false">
      <c r="A491" s="24" t="n">
        <v>45901</v>
      </c>
      <c r="B491" s="9" t="n">
        <v>63.96</v>
      </c>
      <c r="C491" s="13" t="s">
        <v>78</v>
      </c>
      <c r="D491" s="13"/>
    </row>
    <row r="492" customFormat="false" ht="15" hidden="false" customHeight="false" outlineLevel="0" collapsed="false">
      <c r="A492" s="24" t="n">
        <v>45931</v>
      </c>
      <c r="B492" s="9" t="n">
        <v>60.89</v>
      </c>
      <c r="C492" s="13" t="s">
        <v>78</v>
      </c>
      <c r="D492" s="13"/>
    </row>
    <row r="493" customFormat="false" ht="15" hidden="false" customHeight="false" outlineLevel="0" collapsed="false">
      <c r="A493" s="24" t="n">
        <v>45962</v>
      </c>
      <c r="B493" s="9" t="n">
        <v>60.06</v>
      </c>
      <c r="C493" s="13" t="s">
        <v>78</v>
      </c>
      <c r="D493" s="13"/>
    </row>
    <row r="494" customFormat="false" ht="15" hidden="false" customHeight="false" outlineLevel="0" collapsed="false">
      <c r="A494" s="24" t="n">
        <v>45992</v>
      </c>
      <c r="B494" s="9" t="n">
        <v>57.97</v>
      </c>
      <c r="C494" s="13" t="s">
        <v>78</v>
      </c>
      <c r="D494" s="13"/>
    </row>
    <row r="495" customFormat="false" ht="15" hidden="false" customHeight="false" outlineLevel="0" collapsed="false">
      <c r="A495" s="24" t="n">
        <v>46023</v>
      </c>
      <c r="B495" s="9" t="n">
        <v>60.04</v>
      </c>
      <c r="C495" s="13" t="s">
        <v>78</v>
      </c>
      <c r="D495" s="13"/>
    </row>
    <row r="496" customFormat="false" ht="15" hidden="false" customHeight="false" outlineLevel="0" collapsed="false">
      <c r="A496" s="24" t="n">
        <v>46054</v>
      </c>
      <c r="B496" s="9" t="n">
        <v>64.51</v>
      </c>
      <c r="C496" s="13" t="s">
        <v>78</v>
      </c>
      <c r="D496" s="13"/>
    </row>
    <row r="497" customFormat="false" ht="15" hidden="false" customHeight="false" outlineLevel="0" collapsed="false">
      <c r="A497" s="24" t="n">
        <v>46082</v>
      </c>
      <c r="B497" s="9" t="n">
        <v>91.38</v>
      </c>
      <c r="C497" s="13" t="s">
        <v>78</v>
      </c>
      <c r="D497" s="13"/>
    </row>
    <row r="498" customFormat="false" ht="15" hidden="false" customHeight="false" outlineLevel="0" collapsed="false">
      <c r="A498" s="24" t="n">
        <v>46113</v>
      </c>
      <c r="B498" s="9" t="n">
        <v>100.32</v>
      </c>
      <c r="C498" s="13" t="s">
        <v>78</v>
      </c>
      <c r="D498" s="13"/>
    </row>
    <row r="499" customFormat="false" ht="15" hidden="false" customHeight="false" outlineLevel="0" collapsed="false">
      <c r="A499" s="24" t="n">
        <v>46143</v>
      </c>
      <c r="B499" s="9" t="n">
        <v>102.13</v>
      </c>
      <c r="C499" s="13" t="s">
        <v>78</v>
      </c>
      <c r="D499" s="13"/>
    </row>
    <row r="500" customFormat="false" ht="15" hidden="false" customHeight="false" outlineLevel="0" collapsed="false">
      <c r="A500" s="24" t="n">
        <v>46174</v>
      </c>
      <c r="B500" s="9" t="n">
        <v>84.81</v>
      </c>
      <c r="C500" s="13" t="s">
        <v>78</v>
      </c>
      <c r="D500" s="13"/>
    </row>
  </sheetData>
  <autoFilter ref="A14:D500"/>
  <mergeCells count="11">
    <mergeCell ref="A1:D1"/>
    <mergeCell ref="A2:D2"/>
    <mergeCell ref="B4:D4"/>
    <mergeCell ref="B5:D5"/>
    <mergeCell ref="B6:D6"/>
    <mergeCell ref="B7:D7"/>
    <mergeCell ref="B8:D8"/>
    <mergeCell ref="B9:D9"/>
    <mergeCell ref="B10:D10"/>
    <mergeCell ref="B11:D11"/>
    <mergeCell ref="B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R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18" min="2" style="0" width="15"/>
  </cols>
  <sheetData>
    <row r="1" customFormat="false" ht="19.7" hidden="false" customHeight="false" outlineLevel="0" collapsed="false">
      <c r="A1" s="1" t="s">
        <v>96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97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6" t="s">
        <v>98</v>
      </c>
      <c r="B4" s="6"/>
      <c r="C4" s="6"/>
      <c r="D4" s="6"/>
    </row>
    <row r="5" customFormat="false" ht="35.05" hidden="false" customHeight="false" outlineLevel="0" collapsed="false">
      <c r="A5" s="7" t="s">
        <v>99</v>
      </c>
      <c r="B5" s="7" t="s">
        <v>16</v>
      </c>
      <c r="C5" s="7" t="s">
        <v>100</v>
      </c>
      <c r="D5" s="7" t="s">
        <v>101</v>
      </c>
    </row>
    <row r="6" customFormat="false" ht="27.75" hidden="false" customHeight="true" outlineLevel="0" collapsed="false">
      <c r="A6" s="25" t="s">
        <v>102</v>
      </c>
      <c r="B6" s="26" t="n">
        <f aca="false">AVERAGE(P14:P49)</f>
        <v>73.2063888888889</v>
      </c>
      <c r="C6" s="26" t="n">
        <f aca="false">AVERAGE(Q14:Q49)</f>
        <v>73.4776600241546</v>
      </c>
      <c r="D6" s="26" t="n">
        <f aca="false">AVERAGE(R14:R49)</f>
        <v>73.4776600241546</v>
      </c>
    </row>
    <row r="7" customFormat="false" ht="27.75" hidden="false" customHeight="true" outlineLevel="0" collapsed="false">
      <c r="A7" s="25" t="s">
        <v>103</v>
      </c>
      <c r="B7" s="27" t="n">
        <f aca="false">AVERAGE(K14:K49)</f>
        <v>3367493.88888889</v>
      </c>
      <c r="C7" s="27" t="n">
        <f aca="false">AVERAGE(M14:M49)</f>
        <v>3379972.36111111</v>
      </c>
      <c r="D7" s="27" t="n">
        <f aca="false">AVERAGE(O14:O49)</f>
        <v>3379972.36111111</v>
      </c>
    </row>
    <row r="8" customFormat="false" ht="27.75" hidden="false" customHeight="true" outlineLevel="0" collapsed="false">
      <c r="A8" s="25" t="s">
        <v>104</v>
      </c>
      <c r="B8" s="27" t="n">
        <f aca="false">MIN(K14:K49)</f>
        <v>2597620</v>
      </c>
      <c r="C8" s="27" t="n">
        <f aca="false">MIN(M14:M49)</f>
        <v>3321395</v>
      </c>
      <c r="D8" s="27" t="n">
        <f aca="false">MIN(O14:O49)</f>
        <v>3321395</v>
      </c>
    </row>
    <row r="9" customFormat="false" ht="27.75" hidden="false" customHeight="true" outlineLevel="0" collapsed="false">
      <c r="A9" s="25" t="s">
        <v>105</v>
      </c>
      <c r="B9" s="27" t="n">
        <f aca="false">MAX(K14:K49)</f>
        <v>4628980</v>
      </c>
      <c r="C9" s="27" t="n">
        <f aca="false">MAX(M14:M49)</f>
        <v>3475955</v>
      </c>
      <c r="D9" s="27" t="n">
        <f aca="false">MAX(O14:O49)</f>
        <v>3475955</v>
      </c>
    </row>
    <row r="10" customFormat="false" ht="27.75" hidden="false" customHeight="true" outlineLevel="0" collapsed="false">
      <c r="A10" s="25" t="s">
        <v>106</v>
      </c>
      <c r="B10" s="27" t="n">
        <v>0</v>
      </c>
      <c r="C10" s="27" t="n">
        <f aca="false">SUM(L14:L49)</f>
        <v>449225.000000001</v>
      </c>
      <c r="D10" s="27" t="n">
        <f aca="false">SUM(L14:L49)+SUM(N14:N49)</f>
        <v>449225.000000001</v>
      </c>
    </row>
    <row r="11" customFormat="false" ht="27.75" hidden="false" customHeight="true" outlineLevel="0" collapsed="false">
      <c r="A11" s="25" t="s">
        <v>107</v>
      </c>
      <c r="B11" s="28" t="n">
        <v>0</v>
      </c>
      <c r="C11" s="28" t="n">
        <f aca="false">SUM(I14:I49)</f>
        <v>0</v>
      </c>
      <c r="D11" s="28" t="n">
        <f aca="false">SUM(I14:I49)</f>
        <v>0</v>
      </c>
    </row>
    <row r="13" customFormat="false" ht="35.05" hidden="false" customHeight="false" outlineLevel="0" collapsed="false">
      <c r="A13" s="7" t="s">
        <v>108</v>
      </c>
      <c r="B13" s="7" t="s">
        <v>94</v>
      </c>
      <c r="C13" s="7" t="s">
        <v>109</v>
      </c>
      <c r="D13" s="7" t="s">
        <v>110</v>
      </c>
      <c r="E13" s="7" t="s">
        <v>111</v>
      </c>
      <c r="F13" s="7" t="s">
        <v>112</v>
      </c>
      <c r="G13" s="7" t="s">
        <v>113</v>
      </c>
      <c r="H13" s="7" t="s">
        <v>114</v>
      </c>
      <c r="I13" s="7" t="s">
        <v>15</v>
      </c>
      <c r="J13" s="7" t="s">
        <v>115</v>
      </c>
      <c r="K13" s="7" t="s">
        <v>116</v>
      </c>
      <c r="L13" s="7" t="s">
        <v>117</v>
      </c>
      <c r="M13" s="7" t="s">
        <v>118</v>
      </c>
      <c r="N13" s="7" t="s">
        <v>119</v>
      </c>
      <c r="O13" s="7" t="s">
        <v>120</v>
      </c>
      <c r="P13" s="7" t="s">
        <v>121</v>
      </c>
      <c r="Q13" s="7" t="s">
        <v>122</v>
      </c>
      <c r="R13" s="7" t="s">
        <v>123</v>
      </c>
    </row>
    <row r="14" customFormat="false" ht="15" hidden="false" customHeight="false" outlineLevel="0" collapsed="false">
      <c r="A14" s="24" t="n">
        <f aca="false">AnalysisStart</f>
        <v>45108</v>
      </c>
      <c r="B14" s="9" t="n">
        <f aca="false">INDEX('Historical WTI Data'!$B$15:$B$500,MATCH(A14,'Historical WTI Data'!$A$15:$A$500,0))</f>
        <v>76.07</v>
      </c>
      <c r="C14" s="9" t="n">
        <f aca="false">BasisAssumed</f>
        <v>-1.5</v>
      </c>
      <c r="D14" s="9" t="n">
        <f aca="false">B14+C14</f>
        <v>74.57</v>
      </c>
      <c r="E14" s="11" t="n">
        <f aca="false">ProdForecast</f>
        <v>50000</v>
      </c>
      <c r="F14" s="11" t="n">
        <f aca="false">E14*ActualPct</f>
        <v>46000</v>
      </c>
      <c r="G14" s="29" t="n">
        <f aca="false">HedgePct</f>
        <v>0.85</v>
      </c>
      <c r="H14" s="11" t="n">
        <f aca="false">E14*G14</f>
        <v>42500</v>
      </c>
      <c r="I14" s="11" t="n">
        <f aca="false">MAX(H14-F14,0)</f>
        <v>0</v>
      </c>
      <c r="J14" s="10" t="n">
        <f aca="false">F14*D14</f>
        <v>3430220</v>
      </c>
      <c r="K14" s="10" t="n">
        <f aca="false">J14</f>
        <v>3430220</v>
      </c>
      <c r="L14" s="10" t="n">
        <f aca="false">H14*(SwapPrice-B14)</f>
        <v>-45474.9999999997</v>
      </c>
      <c r="M14" s="10" t="n">
        <f aca="false">J14+L14</f>
        <v>3384745</v>
      </c>
      <c r="N14" s="10" t="n">
        <f aca="false">H14*(BasisLocked-C14)</f>
        <v>0</v>
      </c>
      <c r="O14" s="10" t="n">
        <f aca="false">J14+L14+N14</f>
        <v>3384745</v>
      </c>
      <c r="P14" s="9" t="n">
        <f aca="false">IF(F14=0,0,K14/F14)</f>
        <v>74.57</v>
      </c>
      <c r="Q14" s="9" t="n">
        <f aca="false">IF(F14=0,0,M14/F14)</f>
        <v>73.5814130434783</v>
      </c>
      <c r="R14" s="9" t="n">
        <f aca="false">IF(F14=0,0,O14/F14)</f>
        <v>73.5814130434783</v>
      </c>
    </row>
    <row r="15" customFormat="false" ht="15" hidden="false" customHeight="false" outlineLevel="0" collapsed="false">
      <c r="A15" s="24" t="n">
        <f aca="false">EDATE($A$14,1)</f>
        <v>45139</v>
      </c>
      <c r="B15" s="9" t="n">
        <f aca="false">INDEX('Historical WTI Data'!$B$15:$B$500,MATCH(A15,'Historical WTI Data'!$A$15:$A$500,0))</f>
        <v>81.39</v>
      </c>
      <c r="C15" s="9" t="n">
        <f aca="false">BasisAssumed</f>
        <v>-1.5</v>
      </c>
      <c r="D15" s="9" t="n">
        <f aca="false">B15+C15</f>
        <v>79.89</v>
      </c>
      <c r="E15" s="11" t="n">
        <f aca="false">ProdForecast</f>
        <v>50000</v>
      </c>
      <c r="F15" s="11" t="n">
        <f aca="false">E15*ActualPct</f>
        <v>46000</v>
      </c>
      <c r="G15" s="29" t="n">
        <f aca="false">HedgePct</f>
        <v>0.85</v>
      </c>
      <c r="H15" s="11" t="n">
        <f aca="false">E15*G15</f>
        <v>42500</v>
      </c>
      <c r="I15" s="11" t="n">
        <f aca="false">MAX(H15-F15,0)</f>
        <v>0</v>
      </c>
      <c r="J15" s="10" t="n">
        <f aca="false">F15*D15</f>
        <v>3674940</v>
      </c>
      <c r="K15" s="10" t="n">
        <f aca="false">J15</f>
        <v>3674940</v>
      </c>
      <c r="L15" s="10" t="n">
        <f aca="false">H15*(SwapPrice-B15)</f>
        <v>-271575</v>
      </c>
      <c r="M15" s="10" t="n">
        <f aca="false">J15+L15</f>
        <v>3403365</v>
      </c>
      <c r="N15" s="10" t="n">
        <f aca="false">H15*(BasisLocked-C15)</f>
        <v>0</v>
      </c>
      <c r="O15" s="10" t="n">
        <f aca="false">J15+L15+N15</f>
        <v>3403365</v>
      </c>
      <c r="P15" s="9" t="n">
        <f aca="false">IF(F15=0,0,K15/F15)</f>
        <v>79.89</v>
      </c>
      <c r="Q15" s="9" t="n">
        <f aca="false">IF(F15=0,0,M15/F15)</f>
        <v>73.9861956521739</v>
      </c>
      <c r="R15" s="9" t="n">
        <f aca="false">IF(F15=0,0,O15/F15)</f>
        <v>73.9861956521739</v>
      </c>
    </row>
    <row r="16" customFormat="false" ht="15" hidden="false" customHeight="false" outlineLevel="0" collapsed="false">
      <c r="A16" s="24" t="n">
        <f aca="false">EDATE($A$14,2)</f>
        <v>45170</v>
      </c>
      <c r="B16" s="9" t="n">
        <f aca="false">INDEX('Historical WTI Data'!$B$15:$B$500,MATCH(A16,'Historical WTI Data'!$A$15:$A$500,0))</f>
        <v>89.43</v>
      </c>
      <c r="C16" s="9" t="n">
        <f aca="false">BasisAssumed</f>
        <v>-1.5</v>
      </c>
      <c r="D16" s="9" t="n">
        <f aca="false">B16+C16</f>
        <v>87.93</v>
      </c>
      <c r="E16" s="11" t="n">
        <f aca="false">ProdForecast</f>
        <v>50000</v>
      </c>
      <c r="F16" s="11" t="n">
        <f aca="false">E16*ActualPct</f>
        <v>46000</v>
      </c>
      <c r="G16" s="29" t="n">
        <f aca="false">HedgePct</f>
        <v>0.85</v>
      </c>
      <c r="H16" s="11" t="n">
        <f aca="false">E16*G16</f>
        <v>42500</v>
      </c>
      <c r="I16" s="11" t="n">
        <f aca="false">MAX(H16-F16,0)</f>
        <v>0</v>
      </c>
      <c r="J16" s="10" t="n">
        <f aca="false">F16*D16</f>
        <v>4044780</v>
      </c>
      <c r="K16" s="10" t="n">
        <f aca="false">J16</f>
        <v>4044780</v>
      </c>
      <c r="L16" s="10" t="n">
        <f aca="false">H16*(SwapPrice-B16)</f>
        <v>-613275</v>
      </c>
      <c r="M16" s="10" t="n">
        <f aca="false">J16+L16</f>
        <v>3431505</v>
      </c>
      <c r="N16" s="10" t="n">
        <f aca="false">H16*(BasisLocked-C16)</f>
        <v>0</v>
      </c>
      <c r="O16" s="10" t="n">
        <f aca="false">J16+L16+N16</f>
        <v>3431505</v>
      </c>
      <c r="P16" s="9" t="n">
        <f aca="false">IF(F16=0,0,K16/F16)</f>
        <v>87.93</v>
      </c>
      <c r="Q16" s="9" t="n">
        <f aca="false">IF(F16=0,0,M16/F16)</f>
        <v>74.5979347826087</v>
      </c>
      <c r="R16" s="9" t="n">
        <f aca="false">IF(F16=0,0,O16/F16)</f>
        <v>74.5979347826087</v>
      </c>
    </row>
    <row r="17" customFormat="false" ht="15" hidden="false" customHeight="false" outlineLevel="0" collapsed="false">
      <c r="A17" s="24" t="n">
        <f aca="false">EDATE($A$14,3)</f>
        <v>45200</v>
      </c>
      <c r="B17" s="9" t="n">
        <f aca="false">INDEX('Historical WTI Data'!$B$15:$B$500,MATCH(A17,'Historical WTI Data'!$A$15:$A$500,0))</f>
        <v>85.64</v>
      </c>
      <c r="C17" s="9" t="n">
        <f aca="false">BasisAssumed</f>
        <v>-1.5</v>
      </c>
      <c r="D17" s="9" t="n">
        <f aca="false">B17+C17</f>
        <v>84.14</v>
      </c>
      <c r="E17" s="11" t="n">
        <f aca="false">ProdForecast</f>
        <v>50000</v>
      </c>
      <c r="F17" s="11" t="n">
        <f aca="false">E17*ActualPct</f>
        <v>46000</v>
      </c>
      <c r="G17" s="29" t="n">
        <f aca="false">HedgePct</f>
        <v>0.85</v>
      </c>
      <c r="H17" s="11" t="n">
        <f aca="false">E17*G17</f>
        <v>42500</v>
      </c>
      <c r="I17" s="11" t="n">
        <f aca="false">MAX(H17-F17,0)</f>
        <v>0</v>
      </c>
      <c r="J17" s="10" t="n">
        <f aca="false">F17*D17</f>
        <v>3870440</v>
      </c>
      <c r="K17" s="10" t="n">
        <f aca="false">J17</f>
        <v>3870440</v>
      </c>
      <c r="L17" s="10" t="n">
        <f aca="false">H17*(SwapPrice-B17)</f>
        <v>-452200</v>
      </c>
      <c r="M17" s="10" t="n">
        <f aca="false">J17+L17</f>
        <v>3418240</v>
      </c>
      <c r="N17" s="10" t="n">
        <f aca="false">H17*(BasisLocked-C17)</f>
        <v>0</v>
      </c>
      <c r="O17" s="10" t="n">
        <f aca="false">J17+L17+N17</f>
        <v>3418240</v>
      </c>
      <c r="P17" s="9" t="n">
        <f aca="false">IF(F17=0,0,K17/F17)</f>
        <v>84.14</v>
      </c>
      <c r="Q17" s="9" t="n">
        <f aca="false">IF(F17=0,0,M17/F17)</f>
        <v>74.3095652173913</v>
      </c>
      <c r="R17" s="9" t="n">
        <f aca="false">IF(F17=0,0,O17/F17)</f>
        <v>74.3095652173913</v>
      </c>
    </row>
    <row r="18" customFormat="false" ht="15" hidden="false" customHeight="false" outlineLevel="0" collapsed="false">
      <c r="A18" s="24" t="n">
        <f aca="false">EDATE($A$14,4)</f>
        <v>45231</v>
      </c>
      <c r="B18" s="9" t="n">
        <f aca="false">INDEX('Historical WTI Data'!$B$15:$B$500,MATCH(A18,'Historical WTI Data'!$A$15:$A$500,0))</f>
        <v>77.69</v>
      </c>
      <c r="C18" s="9" t="n">
        <f aca="false">BasisAssumed</f>
        <v>-1.5</v>
      </c>
      <c r="D18" s="9" t="n">
        <f aca="false">B18+C18</f>
        <v>76.19</v>
      </c>
      <c r="E18" s="11" t="n">
        <f aca="false">ProdForecast</f>
        <v>50000</v>
      </c>
      <c r="F18" s="11" t="n">
        <f aca="false">E18*ActualPct</f>
        <v>46000</v>
      </c>
      <c r="G18" s="29" t="n">
        <f aca="false">HedgePct</f>
        <v>0.85</v>
      </c>
      <c r="H18" s="11" t="n">
        <f aca="false">E18*G18</f>
        <v>42500</v>
      </c>
      <c r="I18" s="11" t="n">
        <f aca="false">MAX(H18-F18,0)</f>
        <v>0</v>
      </c>
      <c r="J18" s="10" t="n">
        <f aca="false">F18*D18</f>
        <v>3504740</v>
      </c>
      <c r="K18" s="10" t="n">
        <f aca="false">J18</f>
        <v>3504740</v>
      </c>
      <c r="L18" s="10" t="n">
        <f aca="false">H18*(SwapPrice-B18)</f>
        <v>-114325</v>
      </c>
      <c r="M18" s="10" t="n">
        <f aca="false">J18+L18</f>
        <v>3390415</v>
      </c>
      <c r="N18" s="10" t="n">
        <f aca="false">H18*(BasisLocked-C18)</f>
        <v>0</v>
      </c>
      <c r="O18" s="10" t="n">
        <f aca="false">J18+L18+N18</f>
        <v>3390415</v>
      </c>
      <c r="P18" s="9" t="n">
        <f aca="false">IF(F18=0,0,K18/F18)</f>
        <v>76.19</v>
      </c>
      <c r="Q18" s="9" t="n">
        <f aca="false">IF(F18=0,0,M18/F18)</f>
        <v>73.7046739130435</v>
      </c>
      <c r="R18" s="9" t="n">
        <f aca="false">IF(F18=0,0,O18/F18)</f>
        <v>73.7046739130435</v>
      </c>
    </row>
    <row r="19" customFormat="false" ht="15" hidden="false" customHeight="false" outlineLevel="0" collapsed="false">
      <c r="A19" s="24" t="n">
        <f aca="false">EDATE($A$14,5)</f>
        <v>45261</v>
      </c>
      <c r="B19" s="9" t="n">
        <f aca="false">INDEX('Historical WTI Data'!$B$15:$B$500,MATCH(A19,'Historical WTI Data'!$A$15:$A$500,0))</f>
        <v>71.9</v>
      </c>
      <c r="C19" s="9" t="n">
        <f aca="false">BasisAssumed</f>
        <v>-1.5</v>
      </c>
      <c r="D19" s="9" t="n">
        <f aca="false">B19+C19</f>
        <v>70.4</v>
      </c>
      <c r="E19" s="11" t="n">
        <f aca="false">ProdForecast</f>
        <v>50000</v>
      </c>
      <c r="F19" s="11" t="n">
        <f aca="false">E19*ActualPct</f>
        <v>46000</v>
      </c>
      <c r="G19" s="29" t="n">
        <f aca="false">HedgePct</f>
        <v>0.85</v>
      </c>
      <c r="H19" s="11" t="n">
        <f aca="false">E19*G19</f>
        <v>42500</v>
      </c>
      <c r="I19" s="11" t="n">
        <f aca="false">MAX(H19-F19,0)</f>
        <v>0</v>
      </c>
      <c r="J19" s="10" t="n">
        <f aca="false">F19*D19</f>
        <v>3238400</v>
      </c>
      <c r="K19" s="10" t="n">
        <f aca="false">J19</f>
        <v>3238400</v>
      </c>
      <c r="L19" s="10" t="n">
        <f aca="false">H19*(SwapPrice-B19)</f>
        <v>131750</v>
      </c>
      <c r="M19" s="10" t="n">
        <f aca="false">J19+L19</f>
        <v>3370150</v>
      </c>
      <c r="N19" s="10" t="n">
        <f aca="false">H19*(BasisLocked-C19)</f>
        <v>0</v>
      </c>
      <c r="O19" s="10" t="n">
        <f aca="false">J19+L19+N19</f>
        <v>3370150</v>
      </c>
      <c r="P19" s="9" t="n">
        <f aca="false">IF(F19=0,0,K19/F19)</f>
        <v>70.4</v>
      </c>
      <c r="Q19" s="9" t="n">
        <f aca="false">IF(F19=0,0,M19/F19)</f>
        <v>73.2641304347826</v>
      </c>
      <c r="R19" s="9" t="n">
        <f aca="false">IF(F19=0,0,O19/F19)</f>
        <v>73.2641304347826</v>
      </c>
    </row>
    <row r="20" customFormat="false" ht="15" hidden="false" customHeight="false" outlineLevel="0" collapsed="false">
      <c r="A20" s="24" t="n">
        <f aca="false">EDATE($A$14,6)</f>
        <v>45292</v>
      </c>
      <c r="B20" s="9" t="n">
        <f aca="false">INDEX('Historical WTI Data'!$B$15:$B$500,MATCH(A20,'Historical WTI Data'!$A$15:$A$500,0))</f>
        <v>74.15</v>
      </c>
      <c r="C20" s="9" t="n">
        <f aca="false">BasisAssumed</f>
        <v>-1.5</v>
      </c>
      <c r="D20" s="9" t="n">
        <f aca="false">B20+C20</f>
        <v>72.65</v>
      </c>
      <c r="E20" s="11" t="n">
        <f aca="false">ProdForecast</f>
        <v>50000</v>
      </c>
      <c r="F20" s="11" t="n">
        <f aca="false">E20*ActualPct</f>
        <v>46000</v>
      </c>
      <c r="G20" s="29" t="n">
        <f aca="false">HedgePct</f>
        <v>0.85</v>
      </c>
      <c r="H20" s="11" t="n">
        <f aca="false">E20*G20</f>
        <v>42500</v>
      </c>
      <c r="I20" s="11" t="n">
        <f aca="false">MAX(H20-F20,0)</f>
        <v>0</v>
      </c>
      <c r="J20" s="10" t="n">
        <f aca="false">F20*D20</f>
        <v>3341900</v>
      </c>
      <c r="K20" s="10" t="n">
        <f aca="false">J20</f>
        <v>3341900</v>
      </c>
      <c r="L20" s="10" t="n">
        <f aca="false">H20*(SwapPrice-B20)</f>
        <v>36124.9999999998</v>
      </c>
      <c r="M20" s="10" t="n">
        <f aca="false">J20+L20</f>
        <v>3378025</v>
      </c>
      <c r="N20" s="10" t="n">
        <f aca="false">H20*(BasisLocked-C20)</f>
        <v>0</v>
      </c>
      <c r="O20" s="10" t="n">
        <f aca="false">J20+L20+N20</f>
        <v>3378025</v>
      </c>
      <c r="P20" s="9" t="n">
        <f aca="false">IF(F20=0,0,K20/F20)</f>
        <v>72.65</v>
      </c>
      <c r="Q20" s="9" t="n">
        <f aca="false">IF(F20=0,0,M20/F20)</f>
        <v>73.4353260869565</v>
      </c>
      <c r="R20" s="9" t="n">
        <f aca="false">IF(F20=0,0,O20/F20)</f>
        <v>73.4353260869565</v>
      </c>
    </row>
    <row r="21" customFormat="false" ht="15" hidden="false" customHeight="false" outlineLevel="0" collapsed="false">
      <c r="A21" s="24" t="n">
        <f aca="false">EDATE($A$14,7)</f>
        <v>45323</v>
      </c>
      <c r="B21" s="9" t="n">
        <f aca="false">INDEX('Historical WTI Data'!$B$15:$B$500,MATCH(A21,'Historical WTI Data'!$A$15:$A$500,0))</f>
        <v>77.25</v>
      </c>
      <c r="C21" s="9" t="n">
        <f aca="false">BasisAssumed</f>
        <v>-1.5</v>
      </c>
      <c r="D21" s="9" t="n">
        <f aca="false">B21+C21</f>
        <v>75.75</v>
      </c>
      <c r="E21" s="11" t="n">
        <f aca="false">ProdForecast</f>
        <v>50000</v>
      </c>
      <c r="F21" s="11" t="n">
        <f aca="false">E21*ActualPct</f>
        <v>46000</v>
      </c>
      <c r="G21" s="29" t="n">
        <f aca="false">HedgePct</f>
        <v>0.85</v>
      </c>
      <c r="H21" s="11" t="n">
        <f aca="false">E21*G21</f>
        <v>42500</v>
      </c>
      <c r="I21" s="11" t="n">
        <f aca="false">MAX(H21-F21,0)</f>
        <v>0</v>
      </c>
      <c r="J21" s="10" t="n">
        <f aca="false">F21*D21</f>
        <v>3484500</v>
      </c>
      <c r="K21" s="10" t="n">
        <f aca="false">J21</f>
        <v>3484500</v>
      </c>
      <c r="L21" s="10" t="n">
        <f aca="false">H21*(SwapPrice-B21)</f>
        <v>-95625</v>
      </c>
      <c r="M21" s="10" t="n">
        <f aca="false">J21+L21</f>
        <v>3388875</v>
      </c>
      <c r="N21" s="10" t="n">
        <f aca="false">H21*(BasisLocked-C21)</f>
        <v>0</v>
      </c>
      <c r="O21" s="10" t="n">
        <f aca="false">J21+L21+N21</f>
        <v>3388875</v>
      </c>
      <c r="P21" s="9" t="n">
        <f aca="false">IF(F21=0,0,K21/F21)</f>
        <v>75.75</v>
      </c>
      <c r="Q21" s="9" t="n">
        <f aca="false">IF(F21=0,0,M21/F21)</f>
        <v>73.6711956521739</v>
      </c>
      <c r="R21" s="9" t="n">
        <f aca="false">IF(F21=0,0,O21/F21)</f>
        <v>73.6711956521739</v>
      </c>
    </row>
    <row r="22" customFormat="false" ht="15" hidden="false" customHeight="false" outlineLevel="0" collapsed="false">
      <c r="A22" s="24" t="n">
        <f aca="false">EDATE($A$14,8)</f>
        <v>45352</v>
      </c>
      <c r="B22" s="9" t="n">
        <f aca="false">INDEX('Historical WTI Data'!$B$15:$B$500,MATCH(A22,'Historical WTI Data'!$A$15:$A$500,0))</f>
        <v>81.28</v>
      </c>
      <c r="C22" s="9" t="n">
        <f aca="false">BasisAssumed</f>
        <v>-1.5</v>
      </c>
      <c r="D22" s="9" t="n">
        <f aca="false">B22+C22</f>
        <v>79.78</v>
      </c>
      <c r="E22" s="11" t="n">
        <f aca="false">ProdForecast</f>
        <v>50000</v>
      </c>
      <c r="F22" s="11" t="n">
        <f aca="false">E22*ActualPct</f>
        <v>46000</v>
      </c>
      <c r="G22" s="29" t="n">
        <f aca="false">HedgePct</f>
        <v>0.85</v>
      </c>
      <c r="H22" s="11" t="n">
        <f aca="false">E22*G22</f>
        <v>42500</v>
      </c>
      <c r="I22" s="11" t="n">
        <f aca="false">MAX(H22-F22,0)</f>
        <v>0</v>
      </c>
      <c r="J22" s="10" t="n">
        <f aca="false">F22*D22</f>
        <v>3669880</v>
      </c>
      <c r="K22" s="10" t="n">
        <f aca="false">J22</f>
        <v>3669880</v>
      </c>
      <c r="L22" s="10" t="n">
        <f aca="false">H22*(SwapPrice-B22)</f>
        <v>-266900</v>
      </c>
      <c r="M22" s="10" t="n">
        <f aca="false">J22+L22</f>
        <v>3402980</v>
      </c>
      <c r="N22" s="10" t="n">
        <f aca="false">H22*(BasisLocked-C22)</f>
        <v>0</v>
      </c>
      <c r="O22" s="10" t="n">
        <f aca="false">J22+L22+N22</f>
        <v>3402980</v>
      </c>
      <c r="P22" s="9" t="n">
        <f aca="false">IF(F22=0,0,K22/F22)</f>
        <v>79.78</v>
      </c>
      <c r="Q22" s="9" t="n">
        <f aca="false">IF(F22=0,0,M22/F22)</f>
        <v>73.9778260869565</v>
      </c>
      <c r="R22" s="9" t="n">
        <f aca="false">IF(F22=0,0,O22/F22)</f>
        <v>73.9778260869565</v>
      </c>
    </row>
    <row r="23" customFormat="false" ht="15" hidden="false" customHeight="false" outlineLevel="0" collapsed="false">
      <c r="A23" s="24" t="n">
        <f aca="false">EDATE($A$14,9)</f>
        <v>45383</v>
      </c>
      <c r="B23" s="9" t="n">
        <f aca="false">INDEX('Historical WTI Data'!$B$15:$B$500,MATCH(A23,'Historical WTI Data'!$A$15:$A$500,0))</f>
        <v>85.35</v>
      </c>
      <c r="C23" s="9" t="n">
        <f aca="false">BasisAssumed</f>
        <v>-1.5</v>
      </c>
      <c r="D23" s="9" t="n">
        <f aca="false">B23+C23</f>
        <v>83.85</v>
      </c>
      <c r="E23" s="11" t="n">
        <f aca="false">ProdForecast</f>
        <v>50000</v>
      </c>
      <c r="F23" s="11" t="n">
        <f aca="false">E23*ActualPct</f>
        <v>46000</v>
      </c>
      <c r="G23" s="29" t="n">
        <f aca="false">HedgePct</f>
        <v>0.85</v>
      </c>
      <c r="H23" s="11" t="n">
        <f aca="false">E23*G23</f>
        <v>42500</v>
      </c>
      <c r="I23" s="11" t="n">
        <f aca="false">MAX(H23-F23,0)</f>
        <v>0</v>
      </c>
      <c r="J23" s="10" t="n">
        <f aca="false">F23*D23</f>
        <v>3857100</v>
      </c>
      <c r="K23" s="10" t="n">
        <f aca="false">J23</f>
        <v>3857100</v>
      </c>
      <c r="L23" s="10" t="n">
        <f aca="false">H23*(SwapPrice-B23)</f>
        <v>-439875</v>
      </c>
      <c r="M23" s="10" t="n">
        <f aca="false">J23+L23</f>
        <v>3417225</v>
      </c>
      <c r="N23" s="10" t="n">
        <f aca="false">H23*(BasisLocked-C23)</f>
        <v>0</v>
      </c>
      <c r="O23" s="10" t="n">
        <f aca="false">J23+L23+N23</f>
        <v>3417225</v>
      </c>
      <c r="P23" s="9" t="n">
        <f aca="false">IF(F23=0,0,K23/F23)</f>
        <v>83.85</v>
      </c>
      <c r="Q23" s="9" t="n">
        <f aca="false">IF(F23=0,0,M23/F23)</f>
        <v>74.2875</v>
      </c>
      <c r="R23" s="9" t="n">
        <f aca="false">IF(F23=0,0,O23/F23)</f>
        <v>74.2875</v>
      </c>
    </row>
    <row r="24" customFormat="false" ht="15" hidden="false" customHeight="false" outlineLevel="0" collapsed="false">
      <c r="A24" s="24" t="n">
        <f aca="false">EDATE($A$14,10)</f>
        <v>45413</v>
      </c>
      <c r="B24" s="9" t="n">
        <f aca="false">INDEX('Historical WTI Data'!$B$15:$B$500,MATCH(A24,'Historical WTI Data'!$A$15:$A$500,0))</f>
        <v>80.02</v>
      </c>
      <c r="C24" s="9" t="n">
        <f aca="false">BasisAssumed</f>
        <v>-1.5</v>
      </c>
      <c r="D24" s="9" t="n">
        <f aca="false">B24+C24</f>
        <v>78.52</v>
      </c>
      <c r="E24" s="11" t="n">
        <f aca="false">ProdForecast</f>
        <v>50000</v>
      </c>
      <c r="F24" s="11" t="n">
        <f aca="false">E24*ActualPct</f>
        <v>46000</v>
      </c>
      <c r="G24" s="29" t="n">
        <f aca="false">HedgePct</f>
        <v>0.85</v>
      </c>
      <c r="H24" s="11" t="n">
        <f aca="false">E24*G24</f>
        <v>42500</v>
      </c>
      <c r="I24" s="11" t="n">
        <f aca="false">MAX(H24-F24,0)</f>
        <v>0</v>
      </c>
      <c r="J24" s="10" t="n">
        <f aca="false">F24*D24</f>
        <v>3611920</v>
      </c>
      <c r="K24" s="10" t="n">
        <f aca="false">J24</f>
        <v>3611920</v>
      </c>
      <c r="L24" s="10" t="n">
        <f aca="false">H24*(SwapPrice-B24)</f>
        <v>-213350</v>
      </c>
      <c r="M24" s="10" t="n">
        <f aca="false">J24+L24</f>
        <v>3398570</v>
      </c>
      <c r="N24" s="10" t="n">
        <f aca="false">H24*(BasisLocked-C24)</f>
        <v>0</v>
      </c>
      <c r="O24" s="10" t="n">
        <f aca="false">J24+L24+N24</f>
        <v>3398570</v>
      </c>
      <c r="P24" s="9" t="n">
        <f aca="false">IF(F24=0,0,K24/F24)</f>
        <v>78.52</v>
      </c>
      <c r="Q24" s="9" t="n">
        <f aca="false">IF(F24=0,0,M24/F24)</f>
        <v>73.8819565217391</v>
      </c>
      <c r="R24" s="9" t="n">
        <f aca="false">IF(F24=0,0,O24/F24)</f>
        <v>73.8819565217391</v>
      </c>
    </row>
    <row r="25" customFormat="false" ht="15" hidden="false" customHeight="false" outlineLevel="0" collapsed="false">
      <c r="A25" s="24" t="n">
        <f aca="false">EDATE($A$14,11)</f>
        <v>45444</v>
      </c>
      <c r="B25" s="9" t="n">
        <f aca="false">INDEX('Historical WTI Data'!$B$15:$B$500,MATCH(A25,'Historical WTI Data'!$A$15:$A$500,0))</f>
        <v>79.77</v>
      </c>
      <c r="C25" s="9" t="n">
        <f aca="false">BasisAssumed</f>
        <v>-1.5</v>
      </c>
      <c r="D25" s="9" t="n">
        <f aca="false">B25+C25</f>
        <v>78.27</v>
      </c>
      <c r="E25" s="11" t="n">
        <f aca="false">ProdForecast</f>
        <v>50000</v>
      </c>
      <c r="F25" s="11" t="n">
        <f aca="false">E25*ActualPct</f>
        <v>46000</v>
      </c>
      <c r="G25" s="29" t="n">
        <f aca="false">HedgePct</f>
        <v>0.85</v>
      </c>
      <c r="H25" s="11" t="n">
        <f aca="false">E25*G25</f>
        <v>42500</v>
      </c>
      <c r="I25" s="11" t="n">
        <f aca="false">MAX(H25-F25,0)</f>
        <v>0</v>
      </c>
      <c r="J25" s="10" t="n">
        <f aca="false">F25*D25</f>
        <v>3600420</v>
      </c>
      <c r="K25" s="10" t="n">
        <f aca="false">J25</f>
        <v>3600420</v>
      </c>
      <c r="L25" s="10" t="n">
        <f aca="false">H25*(SwapPrice-B25)</f>
        <v>-202725</v>
      </c>
      <c r="M25" s="10" t="n">
        <f aca="false">J25+L25</f>
        <v>3397695</v>
      </c>
      <c r="N25" s="10" t="n">
        <f aca="false">H25*(BasisLocked-C25)</f>
        <v>0</v>
      </c>
      <c r="O25" s="10" t="n">
        <f aca="false">J25+L25+N25</f>
        <v>3397695</v>
      </c>
      <c r="P25" s="9" t="n">
        <f aca="false">IF(F25=0,0,K25/F25)</f>
        <v>78.27</v>
      </c>
      <c r="Q25" s="9" t="n">
        <f aca="false">IF(F25=0,0,M25/F25)</f>
        <v>73.8629347826087</v>
      </c>
      <c r="R25" s="9" t="n">
        <f aca="false">IF(F25=0,0,O25/F25)</f>
        <v>73.8629347826087</v>
      </c>
    </row>
    <row r="26" customFormat="false" ht="15" hidden="false" customHeight="false" outlineLevel="0" collapsed="false">
      <c r="A26" s="24" t="n">
        <f aca="false">EDATE($A$14,12)</f>
        <v>45474</v>
      </c>
      <c r="B26" s="9" t="n">
        <f aca="false">INDEX('Historical WTI Data'!$B$15:$B$500,MATCH(A26,'Historical WTI Data'!$A$15:$A$500,0))</f>
        <v>81.8</v>
      </c>
      <c r="C26" s="9" t="n">
        <f aca="false">BasisAssumed</f>
        <v>-1.5</v>
      </c>
      <c r="D26" s="9" t="n">
        <f aca="false">B26+C26</f>
        <v>80.3</v>
      </c>
      <c r="E26" s="11" t="n">
        <f aca="false">ProdForecast</f>
        <v>50000</v>
      </c>
      <c r="F26" s="11" t="n">
        <f aca="false">E26*ActualPct</f>
        <v>46000</v>
      </c>
      <c r="G26" s="29" t="n">
        <f aca="false">HedgePct</f>
        <v>0.85</v>
      </c>
      <c r="H26" s="11" t="n">
        <f aca="false">E26*G26</f>
        <v>42500</v>
      </c>
      <c r="I26" s="11" t="n">
        <f aca="false">MAX(H26-F26,0)</f>
        <v>0</v>
      </c>
      <c r="J26" s="10" t="n">
        <f aca="false">F26*D26</f>
        <v>3693800</v>
      </c>
      <c r="K26" s="10" t="n">
        <f aca="false">J26</f>
        <v>3693800</v>
      </c>
      <c r="L26" s="10" t="n">
        <f aca="false">H26*(SwapPrice-B26)</f>
        <v>-289000</v>
      </c>
      <c r="M26" s="10" t="n">
        <f aca="false">J26+L26</f>
        <v>3404800</v>
      </c>
      <c r="N26" s="10" t="n">
        <f aca="false">H26*(BasisLocked-C26)</f>
        <v>0</v>
      </c>
      <c r="O26" s="10" t="n">
        <f aca="false">J26+L26+N26</f>
        <v>3404800</v>
      </c>
      <c r="P26" s="9" t="n">
        <f aca="false">IF(F26=0,0,K26/F26)</f>
        <v>80.3</v>
      </c>
      <c r="Q26" s="9" t="n">
        <f aca="false">IF(F26=0,0,M26/F26)</f>
        <v>74.0173913043478</v>
      </c>
      <c r="R26" s="9" t="n">
        <f aca="false">IF(F26=0,0,O26/F26)</f>
        <v>74.0173913043478</v>
      </c>
    </row>
    <row r="27" customFormat="false" ht="15" hidden="false" customHeight="false" outlineLevel="0" collapsed="false">
      <c r="A27" s="24" t="n">
        <f aca="false">EDATE($A$14,13)</f>
        <v>45505</v>
      </c>
      <c r="B27" s="9" t="n">
        <f aca="false">INDEX('Historical WTI Data'!$B$15:$B$500,MATCH(A27,'Historical WTI Data'!$A$15:$A$500,0))</f>
        <v>76.68</v>
      </c>
      <c r="C27" s="9" t="n">
        <f aca="false">BasisAssumed</f>
        <v>-1.5</v>
      </c>
      <c r="D27" s="9" t="n">
        <f aca="false">B27+C27</f>
        <v>75.18</v>
      </c>
      <c r="E27" s="11" t="n">
        <f aca="false">ProdForecast</f>
        <v>50000</v>
      </c>
      <c r="F27" s="11" t="n">
        <f aca="false">E27*ActualPct</f>
        <v>46000</v>
      </c>
      <c r="G27" s="29" t="n">
        <f aca="false">HedgePct</f>
        <v>0.85</v>
      </c>
      <c r="H27" s="11" t="n">
        <f aca="false">E27*G27</f>
        <v>42500</v>
      </c>
      <c r="I27" s="11" t="n">
        <f aca="false">MAX(H27-F27,0)</f>
        <v>0</v>
      </c>
      <c r="J27" s="10" t="n">
        <f aca="false">F27*D27</f>
        <v>3458280</v>
      </c>
      <c r="K27" s="10" t="n">
        <f aca="false">J27</f>
        <v>3458280</v>
      </c>
      <c r="L27" s="10" t="n">
        <f aca="false">H27*(SwapPrice-B27)</f>
        <v>-71400.0000000003</v>
      </c>
      <c r="M27" s="10" t="n">
        <f aca="false">J27+L27</f>
        <v>3386880</v>
      </c>
      <c r="N27" s="10" t="n">
        <f aca="false">H27*(BasisLocked-C27)</f>
        <v>0</v>
      </c>
      <c r="O27" s="10" t="n">
        <f aca="false">J27+L27+N27</f>
        <v>3386880</v>
      </c>
      <c r="P27" s="9" t="n">
        <f aca="false">IF(F27=0,0,K27/F27)</f>
        <v>75.18</v>
      </c>
      <c r="Q27" s="9" t="n">
        <f aca="false">IF(F27=0,0,M27/F27)</f>
        <v>73.6278260869565</v>
      </c>
      <c r="R27" s="9" t="n">
        <f aca="false">IF(F27=0,0,O27/F27)</f>
        <v>73.6278260869565</v>
      </c>
    </row>
    <row r="28" customFormat="false" ht="15" hidden="false" customHeight="false" outlineLevel="0" collapsed="false">
      <c r="A28" s="24" t="n">
        <f aca="false">EDATE($A$14,14)</f>
        <v>45536</v>
      </c>
      <c r="B28" s="9" t="n">
        <f aca="false">INDEX('Historical WTI Data'!$B$15:$B$500,MATCH(A28,'Historical WTI Data'!$A$15:$A$500,0))</f>
        <v>70.24</v>
      </c>
      <c r="C28" s="9" t="n">
        <f aca="false">BasisAssumed</f>
        <v>-1.5</v>
      </c>
      <c r="D28" s="9" t="n">
        <f aca="false">B28+C28</f>
        <v>68.74</v>
      </c>
      <c r="E28" s="11" t="n">
        <f aca="false">ProdForecast</f>
        <v>50000</v>
      </c>
      <c r="F28" s="11" t="n">
        <f aca="false">E28*ActualPct</f>
        <v>46000</v>
      </c>
      <c r="G28" s="29" t="n">
        <f aca="false">HedgePct</f>
        <v>0.85</v>
      </c>
      <c r="H28" s="11" t="n">
        <f aca="false">E28*G28</f>
        <v>42500</v>
      </c>
      <c r="I28" s="11" t="n">
        <f aca="false">MAX(H28-F28,0)</f>
        <v>0</v>
      </c>
      <c r="J28" s="10" t="n">
        <f aca="false">F28*D28</f>
        <v>3162040</v>
      </c>
      <c r="K28" s="10" t="n">
        <f aca="false">J28</f>
        <v>3162040</v>
      </c>
      <c r="L28" s="10" t="n">
        <f aca="false">H28*(SwapPrice-B28)</f>
        <v>202300</v>
      </c>
      <c r="M28" s="10" t="n">
        <f aca="false">J28+L28</f>
        <v>3364340</v>
      </c>
      <c r="N28" s="10" t="n">
        <f aca="false">H28*(BasisLocked-C28)</f>
        <v>0</v>
      </c>
      <c r="O28" s="10" t="n">
        <f aca="false">J28+L28+N28</f>
        <v>3364340</v>
      </c>
      <c r="P28" s="9" t="n">
        <f aca="false">IF(F28=0,0,K28/F28)</f>
        <v>68.74</v>
      </c>
      <c r="Q28" s="9" t="n">
        <f aca="false">IF(F28=0,0,M28/F28)</f>
        <v>73.1378260869565</v>
      </c>
      <c r="R28" s="9" t="n">
        <f aca="false">IF(F28=0,0,O28/F28)</f>
        <v>73.1378260869565</v>
      </c>
    </row>
    <row r="29" customFormat="false" ht="15" hidden="false" customHeight="false" outlineLevel="0" collapsed="false">
      <c r="A29" s="24" t="n">
        <f aca="false">EDATE($A$14,15)</f>
        <v>45566</v>
      </c>
      <c r="B29" s="9" t="n">
        <f aca="false">INDEX('Historical WTI Data'!$B$15:$B$500,MATCH(A29,'Historical WTI Data'!$A$15:$A$500,0))</f>
        <v>71.99</v>
      </c>
      <c r="C29" s="9" t="n">
        <f aca="false">BasisAssumed</f>
        <v>-1.5</v>
      </c>
      <c r="D29" s="9" t="n">
        <f aca="false">B29+C29</f>
        <v>70.49</v>
      </c>
      <c r="E29" s="11" t="n">
        <f aca="false">ProdForecast</f>
        <v>50000</v>
      </c>
      <c r="F29" s="11" t="n">
        <f aca="false">E29*ActualPct</f>
        <v>46000</v>
      </c>
      <c r="G29" s="29" t="n">
        <f aca="false">HedgePct</f>
        <v>0.85</v>
      </c>
      <c r="H29" s="11" t="n">
        <f aca="false">E29*G29</f>
        <v>42500</v>
      </c>
      <c r="I29" s="11" t="n">
        <f aca="false">MAX(H29-F29,0)</f>
        <v>0</v>
      </c>
      <c r="J29" s="10" t="n">
        <f aca="false">F29*D29</f>
        <v>3242540</v>
      </c>
      <c r="K29" s="10" t="n">
        <f aca="false">J29</f>
        <v>3242540</v>
      </c>
      <c r="L29" s="10" t="n">
        <f aca="false">H29*(SwapPrice-B29)</f>
        <v>127925</v>
      </c>
      <c r="M29" s="10" t="n">
        <f aca="false">J29+L29</f>
        <v>3370465</v>
      </c>
      <c r="N29" s="10" t="n">
        <f aca="false">H29*(BasisLocked-C29)</f>
        <v>0</v>
      </c>
      <c r="O29" s="10" t="n">
        <f aca="false">J29+L29+N29</f>
        <v>3370465</v>
      </c>
      <c r="P29" s="9" t="n">
        <f aca="false">IF(F29=0,0,K29/F29)</f>
        <v>70.49</v>
      </c>
      <c r="Q29" s="9" t="n">
        <f aca="false">IF(F29=0,0,M29/F29)</f>
        <v>73.2709782608696</v>
      </c>
      <c r="R29" s="9" t="n">
        <f aca="false">IF(F29=0,0,O29/F29)</f>
        <v>73.2709782608696</v>
      </c>
    </row>
    <row r="30" customFormat="false" ht="15" hidden="false" customHeight="false" outlineLevel="0" collapsed="false">
      <c r="A30" s="24" t="n">
        <f aca="false">EDATE($A$14,16)</f>
        <v>45597</v>
      </c>
      <c r="B30" s="9" t="n">
        <f aca="false">INDEX('Historical WTI Data'!$B$15:$B$500,MATCH(A30,'Historical WTI Data'!$A$15:$A$500,0))</f>
        <v>69.95</v>
      </c>
      <c r="C30" s="9" t="n">
        <f aca="false">BasisAssumed</f>
        <v>-1.5</v>
      </c>
      <c r="D30" s="9" t="n">
        <f aca="false">B30+C30</f>
        <v>68.45</v>
      </c>
      <c r="E30" s="11" t="n">
        <f aca="false">ProdForecast</f>
        <v>50000</v>
      </c>
      <c r="F30" s="11" t="n">
        <f aca="false">E30*ActualPct</f>
        <v>46000</v>
      </c>
      <c r="G30" s="29" t="n">
        <f aca="false">HedgePct</f>
        <v>0.85</v>
      </c>
      <c r="H30" s="11" t="n">
        <f aca="false">E30*G30</f>
        <v>42500</v>
      </c>
      <c r="I30" s="11" t="n">
        <f aca="false">MAX(H30-F30,0)</f>
        <v>0</v>
      </c>
      <c r="J30" s="10" t="n">
        <f aca="false">F30*D30</f>
        <v>3148700</v>
      </c>
      <c r="K30" s="10" t="n">
        <f aca="false">J30</f>
        <v>3148700</v>
      </c>
      <c r="L30" s="10" t="n">
        <f aca="false">H30*(SwapPrice-B30)</f>
        <v>214625</v>
      </c>
      <c r="M30" s="10" t="n">
        <f aca="false">J30+L30</f>
        <v>3363325</v>
      </c>
      <c r="N30" s="10" t="n">
        <f aca="false">H30*(BasisLocked-C30)</f>
        <v>0</v>
      </c>
      <c r="O30" s="10" t="n">
        <f aca="false">J30+L30+N30</f>
        <v>3363325</v>
      </c>
      <c r="P30" s="9" t="n">
        <f aca="false">IF(F30=0,0,K30/F30)</f>
        <v>68.45</v>
      </c>
      <c r="Q30" s="9" t="n">
        <f aca="false">IF(F30=0,0,M30/F30)</f>
        <v>73.1157608695652</v>
      </c>
      <c r="R30" s="9" t="n">
        <f aca="false">IF(F30=0,0,O30/F30)</f>
        <v>73.1157608695652</v>
      </c>
    </row>
    <row r="31" customFormat="false" ht="15" hidden="false" customHeight="false" outlineLevel="0" collapsed="false">
      <c r="A31" s="24" t="n">
        <f aca="false">EDATE($A$14,17)</f>
        <v>45627</v>
      </c>
      <c r="B31" s="9" t="n">
        <f aca="false">INDEX('Historical WTI Data'!$B$15:$B$500,MATCH(A31,'Historical WTI Data'!$A$15:$A$500,0))</f>
        <v>70.12</v>
      </c>
      <c r="C31" s="9" t="n">
        <f aca="false">BasisAssumed</f>
        <v>-1.5</v>
      </c>
      <c r="D31" s="9" t="n">
        <f aca="false">B31+C31</f>
        <v>68.62</v>
      </c>
      <c r="E31" s="11" t="n">
        <f aca="false">ProdForecast</f>
        <v>50000</v>
      </c>
      <c r="F31" s="11" t="n">
        <f aca="false">E31*ActualPct</f>
        <v>46000</v>
      </c>
      <c r="G31" s="29" t="n">
        <f aca="false">HedgePct</f>
        <v>0.85</v>
      </c>
      <c r="H31" s="11" t="n">
        <f aca="false">E31*G31</f>
        <v>42500</v>
      </c>
      <c r="I31" s="11" t="n">
        <f aca="false">MAX(H31-F31,0)</f>
        <v>0</v>
      </c>
      <c r="J31" s="10" t="n">
        <f aca="false">F31*D31</f>
        <v>3156520</v>
      </c>
      <c r="K31" s="10" t="n">
        <f aca="false">J31</f>
        <v>3156520</v>
      </c>
      <c r="L31" s="10" t="n">
        <f aca="false">H31*(SwapPrice-B31)</f>
        <v>207400</v>
      </c>
      <c r="M31" s="10" t="n">
        <f aca="false">J31+L31</f>
        <v>3363920</v>
      </c>
      <c r="N31" s="10" t="n">
        <f aca="false">H31*(BasisLocked-C31)</f>
        <v>0</v>
      </c>
      <c r="O31" s="10" t="n">
        <f aca="false">J31+L31+N31</f>
        <v>3363920</v>
      </c>
      <c r="P31" s="9" t="n">
        <f aca="false">IF(F31=0,0,K31/F31)</f>
        <v>68.62</v>
      </c>
      <c r="Q31" s="9" t="n">
        <f aca="false">IF(F31=0,0,M31/F31)</f>
        <v>73.1286956521739</v>
      </c>
      <c r="R31" s="9" t="n">
        <f aca="false">IF(F31=0,0,O31/F31)</f>
        <v>73.1286956521739</v>
      </c>
    </row>
    <row r="32" customFormat="false" ht="15" hidden="false" customHeight="false" outlineLevel="0" collapsed="false">
      <c r="A32" s="24" t="n">
        <f aca="false">EDATE($A$14,18)</f>
        <v>45658</v>
      </c>
      <c r="B32" s="9" t="n">
        <f aca="false">INDEX('Historical WTI Data'!$B$15:$B$500,MATCH(A32,'Historical WTI Data'!$A$15:$A$500,0))</f>
        <v>75.74</v>
      </c>
      <c r="C32" s="9" t="n">
        <f aca="false">BasisAssumed</f>
        <v>-1.5</v>
      </c>
      <c r="D32" s="9" t="n">
        <f aca="false">B32+C32</f>
        <v>74.24</v>
      </c>
      <c r="E32" s="11" t="n">
        <f aca="false">ProdForecast</f>
        <v>50000</v>
      </c>
      <c r="F32" s="11" t="n">
        <f aca="false">E32*ActualPct</f>
        <v>46000</v>
      </c>
      <c r="G32" s="29" t="n">
        <f aca="false">HedgePct</f>
        <v>0.85</v>
      </c>
      <c r="H32" s="11" t="n">
        <f aca="false">E32*G32</f>
        <v>42500</v>
      </c>
      <c r="I32" s="11" t="n">
        <f aca="false">MAX(H32-F32,0)</f>
        <v>0</v>
      </c>
      <c r="J32" s="10" t="n">
        <f aca="false">F32*D32</f>
        <v>3415040</v>
      </c>
      <c r="K32" s="10" t="n">
        <f aca="false">J32</f>
        <v>3415040</v>
      </c>
      <c r="L32" s="10" t="n">
        <f aca="false">H32*(SwapPrice-B32)</f>
        <v>-31449.9999999998</v>
      </c>
      <c r="M32" s="10" t="n">
        <f aca="false">J32+L32</f>
        <v>3383590</v>
      </c>
      <c r="N32" s="10" t="n">
        <f aca="false">H32*(BasisLocked-C32)</f>
        <v>0</v>
      </c>
      <c r="O32" s="10" t="n">
        <f aca="false">J32+L32+N32</f>
        <v>3383590</v>
      </c>
      <c r="P32" s="9" t="n">
        <f aca="false">IF(F32=0,0,K32/F32)</f>
        <v>74.24</v>
      </c>
      <c r="Q32" s="9" t="n">
        <f aca="false">IF(F32=0,0,M32/F32)</f>
        <v>73.5563043478261</v>
      </c>
      <c r="R32" s="9" t="n">
        <f aca="false">IF(F32=0,0,O32/F32)</f>
        <v>73.5563043478261</v>
      </c>
    </row>
    <row r="33" customFormat="false" ht="15" hidden="false" customHeight="false" outlineLevel="0" collapsed="false">
      <c r="A33" s="24" t="n">
        <f aca="false">EDATE($A$14,19)</f>
        <v>45689</v>
      </c>
      <c r="B33" s="9" t="n">
        <f aca="false">INDEX('Historical WTI Data'!$B$15:$B$500,MATCH(A33,'Historical WTI Data'!$A$15:$A$500,0))</f>
        <v>71.53</v>
      </c>
      <c r="C33" s="9" t="n">
        <f aca="false">BasisAssumed</f>
        <v>-1.5</v>
      </c>
      <c r="D33" s="9" t="n">
        <f aca="false">B33+C33</f>
        <v>70.03</v>
      </c>
      <c r="E33" s="11" t="n">
        <f aca="false">ProdForecast</f>
        <v>50000</v>
      </c>
      <c r="F33" s="11" t="n">
        <f aca="false">E33*ActualPct</f>
        <v>46000</v>
      </c>
      <c r="G33" s="29" t="n">
        <f aca="false">HedgePct</f>
        <v>0.85</v>
      </c>
      <c r="H33" s="11" t="n">
        <f aca="false">E33*G33</f>
        <v>42500</v>
      </c>
      <c r="I33" s="11" t="n">
        <f aca="false">MAX(H33-F33,0)</f>
        <v>0</v>
      </c>
      <c r="J33" s="10" t="n">
        <f aca="false">F33*D33</f>
        <v>3221380</v>
      </c>
      <c r="K33" s="10" t="n">
        <f aca="false">J33</f>
        <v>3221380</v>
      </c>
      <c r="L33" s="10" t="n">
        <f aca="false">H33*(SwapPrice-B33)</f>
        <v>147475</v>
      </c>
      <c r="M33" s="10" t="n">
        <f aca="false">J33+L33</f>
        <v>3368855</v>
      </c>
      <c r="N33" s="10" t="n">
        <f aca="false">H33*(BasisLocked-C33)</f>
        <v>0</v>
      </c>
      <c r="O33" s="10" t="n">
        <f aca="false">J33+L33+N33</f>
        <v>3368855</v>
      </c>
      <c r="P33" s="9" t="n">
        <f aca="false">IF(F33=0,0,K33/F33)</f>
        <v>70.03</v>
      </c>
      <c r="Q33" s="9" t="n">
        <f aca="false">IF(F33=0,0,M33/F33)</f>
        <v>73.2359782608696</v>
      </c>
      <c r="R33" s="9" t="n">
        <f aca="false">IF(F33=0,0,O33/F33)</f>
        <v>73.2359782608696</v>
      </c>
    </row>
    <row r="34" customFormat="false" ht="15" hidden="false" customHeight="false" outlineLevel="0" collapsed="false">
      <c r="A34" s="24" t="n">
        <f aca="false">EDATE($A$14,20)</f>
        <v>45717</v>
      </c>
      <c r="B34" s="9" t="n">
        <f aca="false">INDEX('Historical WTI Data'!$B$15:$B$500,MATCH(A34,'Historical WTI Data'!$A$15:$A$500,0))</f>
        <v>68.24</v>
      </c>
      <c r="C34" s="9" t="n">
        <f aca="false">BasisAssumed</f>
        <v>-1.5</v>
      </c>
      <c r="D34" s="9" t="n">
        <f aca="false">B34+C34</f>
        <v>66.74</v>
      </c>
      <c r="E34" s="11" t="n">
        <f aca="false">ProdForecast</f>
        <v>50000</v>
      </c>
      <c r="F34" s="11" t="n">
        <f aca="false">E34*ActualPct</f>
        <v>46000</v>
      </c>
      <c r="G34" s="29" t="n">
        <f aca="false">HedgePct</f>
        <v>0.85</v>
      </c>
      <c r="H34" s="11" t="n">
        <f aca="false">E34*G34</f>
        <v>42500</v>
      </c>
      <c r="I34" s="11" t="n">
        <f aca="false">MAX(H34-F34,0)</f>
        <v>0</v>
      </c>
      <c r="J34" s="10" t="n">
        <f aca="false">F34*D34</f>
        <v>3070040</v>
      </c>
      <c r="K34" s="10" t="n">
        <f aca="false">J34</f>
        <v>3070040</v>
      </c>
      <c r="L34" s="10" t="n">
        <f aca="false">H34*(SwapPrice-B34)</f>
        <v>287300</v>
      </c>
      <c r="M34" s="10" t="n">
        <f aca="false">J34+L34</f>
        <v>3357340</v>
      </c>
      <c r="N34" s="10" t="n">
        <f aca="false">H34*(BasisLocked-C34)</f>
        <v>0</v>
      </c>
      <c r="O34" s="10" t="n">
        <f aca="false">J34+L34+N34</f>
        <v>3357340</v>
      </c>
      <c r="P34" s="9" t="n">
        <f aca="false">IF(F34=0,0,K34/F34)</f>
        <v>66.74</v>
      </c>
      <c r="Q34" s="9" t="n">
        <f aca="false">IF(F34=0,0,M34/F34)</f>
        <v>72.985652173913</v>
      </c>
      <c r="R34" s="9" t="n">
        <f aca="false">IF(F34=0,0,O34/F34)</f>
        <v>72.985652173913</v>
      </c>
    </row>
    <row r="35" customFormat="false" ht="15" hidden="false" customHeight="false" outlineLevel="0" collapsed="false">
      <c r="A35" s="24" t="n">
        <f aca="false">EDATE($A$14,21)</f>
        <v>45748</v>
      </c>
      <c r="B35" s="9" t="n">
        <f aca="false">INDEX('Historical WTI Data'!$B$15:$B$500,MATCH(A35,'Historical WTI Data'!$A$15:$A$500,0))</f>
        <v>63.54</v>
      </c>
      <c r="C35" s="9" t="n">
        <f aca="false">BasisAssumed</f>
        <v>-1.5</v>
      </c>
      <c r="D35" s="9" t="n">
        <f aca="false">B35+C35</f>
        <v>62.04</v>
      </c>
      <c r="E35" s="11" t="n">
        <f aca="false">ProdForecast</f>
        <v>50000</v>
      </c>
      <c r="F35" s="11" t="n">
        <f aca="false">E35*ActualPct</f>
        <v>46000</v>
      </c>
      <c r="G35" s="29" t="n">
        <f aca="false">HedgePct</f>
        <v>0.85</v>
      </c>
      <c r="H35" s="11" t="n">
        <f aca="false">E35*G35</f>
        <v>42500</v>
      </c>
      <c r="I35" s="11" t="n">
        <f aca="false">MAX(H35-F35,0)</f>
        <v>0</v>
      </c>
      <c r="J35" s="10" t="n">
        <f aca="false">F35*D35</f>
        <v>2853840</v>
      </c>
      <c r="K35" s="10" t="n">
        <f aca="false">J35</f>
        <v>2853840</v>
      </c>
      <c r="L35" s="10" t="n">
        <f aca="false">H35*(SwapPrice-B35)</f>
        <v>487050</v>
      </c>
      <c r="M35" s="10" t="n">
        <f aca="false">J35+L35</f>
        <v>3340890</v>
      </c>
      <c r="N35" s="10" t="n">
        <f aca="false">H35*(BasisLocked-C35)</f>
        <v>0</v>
      </c>
      <c r="O35" s="10" t="n">
        <f aca="false">J35+L35+N35</f>
        <v>3340890</v>
      </c>
      <c r="P35" s="9" t="n">
        <f aca="false">IF(F35=0,0,K35/F35)</f>
        <v>62.04</v>
      </c>
      <c r="Q35" s="9" t="n">
        <f aca="false">IF(F35=0,0,M35/F35)</f>
        <v>72.6280434782609</v>
      </c>
      <c r="R35" s="9" t="n">
        <f aca="false">IF(F35=0,0,O35/F35)</f>
        <v>72.6280434782609</v>
      </c>
    </row>
    <row r="36" customFormat="false" ht="15" hidden="false" customHeight="false" outlineLevel="0" collapsed="false">
      <c r="A36" s="24" t="n">
        <f aca="false">EDATE($A$14,22)</f>
        <v>45778</v>
      </c>
      <c r="B36" s="9" t="n">
        <f aca="false">INDEX('Historical WTI Data'!$B$15:$B$500,MATCH(A36,'Historical WTI Data'!$A$15:$A$500,0))</f>
        <v>62.17</v>
      </c>
      <c r="C36" s="9" t="n">
        <f aca="false">BasisAssumed</f>
        <v>-1.5</v>
      </c>
      <c r="D36" s="9" t="n">
        <f aca="false">B36+C36</f>
        <v>60.67</v>
      </c>
      <c r="E36" s="11" t="n">
        <f aca="false">ProdForecast</f>
        <v>50000</v>
      </c>
      <c r="F36" s="11" t="n">
        <f aca="false">E36*ActualPct</f>
        <v>46000</v>
      </c>
      <c r="G36" s="29" t="n">
        <f aca="false">HedgePct</f>
        <v>0.85</v>
      </c>
      <c r="H36" s="11" t="n">
        <f aca="false">E36*G36</f>
        <v>42500</v>
      </c>
      <c r="I36" s="11" t="n">
        <f aca="false">MAX(H36-F36,0)</f>
        <v>0</v>
      </c>
      <c r="J36" s="10" t="n">
        <f aca="false">F36*D36</f>
        <v>2790820</v>
      </c>
      <c r="K36" s="10" t="n">
        <f aca="false">J36</f>
        <v>2790820</v>
      </c>
      <c r="L36" s="10" t="n">
        <f aca="false">H36*(SwapPrice-B36)</f>
        <v>545275</v>
      </c>
      <c r="M36" s="10" t="n">
        <f aca="false">J36+L36</f>
        <v>3336095</v>
      </c>
      <c r="N36" s="10" t="n">
        <f aca="false">H36*(BasisLocked-C36)</f>
        <v>0</v>
      </c>
      <c r="O36" s="10" t="n">
        <f aca="false">J36+L36+N36</f>
        <v>3336095</v>
      </c>
      <c r="P36" s="9" t="n">
        <f aca="false">IF(F36=0,0,K36/F36)</f>
        <v>60.67</v>
      </c>
      <c r="Q36" s="9" t="n">
        <f aca="false">IF(F36=0,0,M36/F36)</f>
        <v>72.5238043478261</v>
      </c>
      <c r="R36" s="9" t="n">
        <f aca="false">IF(F36=0,0,O36/F36)</f>
        <v>72.5238043478261</v>
      </c>
    </row>
    <row r="37" customFormat="false" ht="15" hidden="false" customHeight="false" outlineLevel="0" collapsed="false">
      <c r="A37" s="24" t="n">
        <f aca="false">EDATE($A$14,23)</f>
        <v>45809</v>
      </c>
      <c r="B37" s="9" t="n">
        <f aca="false">INDEX('Historical WTI Data'!$B$15:$B$500,MATCH(A37,'Historical WTI Data'!$A$15:$A$500,0))</f>
        <v>68.17</v>
      </c>
      <c r="C37" s="9" t="n">
        <f aca="false">BasisAssumed</f>
        <v>-1.5</v>
      </c>
      <c r="D37" s="9" t="n">
        <f aca="false">B37+C37</f>
        <v>66.67</v>
      </c>
      <c r="E37" s="11" t="n">
        <f aca="false">ProdForecast</f>
        <v>50000</v>
      </c>
      <c r="F37" s="11" t="n">
        <f aca="false">E37*ActualPct</f>
        <v>46000</v>
      </c>
      <c r="G37" s="29" t="n">
        <f aca="false">HedgePct</f>
        <v>0.85</v>
      </c>
      <c r="H37" s="11" t="n">
        <f aca="false">E37*G37</f>
        <v>42500</v>
      </c>
      <c r="I37" s="11" t="n">
        <f aca="false">MAX(H37-F37,0)</f>
        <v>0</v>
      </c>
      <c r="J37" s="10" t="n">
        <f aca="false">F37*D37</f>
        <v>3066820</v>
      </c>
      <c r="K37" s="10" t="n">
        <f aca="false">J37</f>
        <v>3066820</v>
      </c>
      <c r="L37" s="10" t="n">
        <f aca="false">H37*(SwapPrice-B37)</f>
        <v>290275</v>
      </c>
      <c r="M37" s="10" t="n">
        <f aca="false">J37+L37</f>
        <v>3357095</v>
      </c>
      <c r="N37" s="10" t="n">
        <f aca="false">H37*(BasisLocked-C37)</f>
        <v>0</v>
      </c>
      <c r="O37" s="10" t="n">
        <f aca="false">J37+L37+N37</f>
        <v>3357095</v>
      </c>
      <c r="P37" s="9" t="n">
        <f aca="false">IF(F37=0,0,K37/F37)</f>
        <v>66.67</v>
      </c>
      <c r="Q37" s="9" t="n">
        <f aca="false">IF(F37=0,0,M37/F37)</f>
        <v>72.9803260869565</v>
      </c>
      <c r="R37" s="9" t="n">
        <f aca="false">IF(F37=0,0,O37/F37)</f>
        <v>72.9803260869565</v>
      </c>
    </row>
    <row r="38" customFormat="false" ht="15" hidden="false" customHeight="false" outlineLevel="0" collapsed="false">
      <c r="A38" s="24" t="n">
        <f aca="false">EDATE($A$14,24)</f>
        <v>45839</v>
      </c>
      <c r="B38" s="9" t="n">
        <f aca="false">INDEX('Historical WTI Data'!$B$15:$B$500,MATCH(A38,'Historical WTI Data'!$A$15:$A$500,0))</f>
        <v>68.39</v>
      </c>
      <c r="C38" s="9" t="n">
        <f aca="false">BasisAssumed</f>
        <v>-1.5</v>
      </c>
      <c r="D38" s="9" t="n">
        <f aca="false">B38+C38</f>
        <v>66.89</v>
      </c>
      <c r="E38" s="11" t="n">
        <f aca="false">ProdForecast</f>
        <v>50000</v>
      </c>
      <c r="F38" s="11" t="n">
        <f aca="false">E38*ActualPct</f>
        <v>46000</v>
      </c>
      <c r="G38" s="29" t="n">
        <f aca="false">HedgePct</f>
        <v>0.85</v>
      </c>
      <c r="H38" s="11" t="n">
        <f aca="false">E38*G38</f>
        <v>42500</v>
      </c>
      <c r="I38" s="11" t="n">
        <f aca="false">MAX(H38-F38,0)</f>
        <v>0</v>
      </c>
      <c r="J38" s="10" t="n">
        <f aca="false">F38*D38</f>
        <v>3076940</v>
      </c>
      <c r="K38" s="10" t="n">
        <f aca="false">J38</f>
        <v>3076940</v>
      </c>
      <c r="L38" s="10" t="n">
        <f aca="false">H38*(SwapPrice-B38)</f>
        <v>280925</v>
      </c>
      <c r="M38" s="10" t="n">
        <f aca="false">J38+L38</f>
        <v>3357865</v>
      </c>
      <c r="N38" s="10" t="n">
        <f aca="false">H38*(BasisLocked-C38)</f>
        <v>0</v>
      </c>
      <c r="O38" s="10" t="n">
        <f aca="false">J38+L38+N38</f>
        <v>3357865</v>
      </c>
      <c r="P38" s="9" t="n">
        <f aca="false">IF(F38=0,0,K38/F38)</f>
        <v>66.89</v>
      </c>
      <c r="Q38" s="9" t="n">
        <f aca="false">IF(F38=0,0,M38/F38)</f>
        <v>72.9970652173913</v>
      </c>
      <c r="R38" s="9" t="n">
        <f aca="false">IF(F38=0,0,O38/F38)</f>
        <v>72.9970652173913</v>
      </c>
    </row>
    <row r="39" customFormat="false" ht="15" hidden="false" customHeight="false" outlineLevel="0" collapsed="false">
      <c r="A39" s="24" t="n">
        <f aca="false">EDATE($A$14,25)</f>
        <v>45870</v>
      </c>
      <c r="B39" s="9" t="n">
        <f aca="false">INDEX('Historical WTI Data'!$B$15:$B$500,MATCH(A39,'Historical WTI Data'!$A$15:$A$500,0))</f>
        <v>64.86</v>
      </c>
      <c r="C39" s="9" t="n">
        <f aca="false">BasisAssumed</f>
        <v>-1.5</v>
      </c>
      <c r="D39" s="9" t="n">
        <f aca="false">B39+C39</f>
        <v>63.36</v>
      </c>
      <c r="E39" s="11" t="n">
        <f aca="false">ProdForecast</f>
        <v>50000</v>
      </c>
      <c r="F39" s="11" t="n">
        <f aca="false">E39*ActualPct</f>
        <v>46000</v>
      </c>
      <c r="G39" s="29" t="n">
        <f aca="false">HedgePct</f>
        <v>0.85</v>
      </c>
      <c r="H39" s="11" t="n">
        <f aca="false">E39*G39</f>
        <v>42500</v>
      </c>
      <c r="I39" s="11" t="n">
        <f aca="false">MAX(H39-F39,0)</f>
        <v>0</v>
      </c>
      <c r="J39" s="10" t="n">
        <f aca="false">F39*D39</f>
        <v>2914560</v>
      </c>
      <c r="K39" s="10" t="n">
        <f aca="false">J39</f>
        <v>2914560</v>
      </c>
      <c r="L39" s="10" t="n">
        <f aca="false">H39*(SwapPrice-B39)</f>
        <v>430950</v>
      </c>
      <c r="M39" s="10" t="n">
        <f aca="false">J39+L39</f>
        <v>3345510</v>
      </c>
      <c r="N39" s="10" t="n">
        <f aca="false">H39*(BasisLocked-C39)</f>
        <v>0</v>
      </c>
      <c r="O39" s="10" t="n">
        <f aca="false">J39+L39+N39</f>
        <v>3345510</v>
      </c>
      <c r="P39" s="9" t="n">
        <f aca="false">IF(F39=0,0,K39/F39)</f>
        <v>63.36</v>
      </c>
      <c r="Q39" s="9" t="n">
        <f aca="false">IF(F39=0,0,M39/F39)</f>
        <v>72.7284782608696</v>
      </c>
      <c r="R39" s="9" t="n">
        <f aca="false">IF(F39=0,0,O39/F39)</f>
        <v>72.7284782608696</v>
      </c>
    </row>
    <row r="40" customFormat="false" ht="15" hidden="false" customHeight="false" outlineLevel="0" collapsed="false">
      <c r="A40" s="24" t="n">
        <f aca="false">EDATE($A$14,26)</f>
        <v>45901</v>
      </c>
      <c r="B40" s="9" t="n">
        <f aca="false">INDEX('Historical WTI Data'!$B$15:$B$500,MATCH(A40,'Historical WTI Data'!$A$15:$A$500,0))</f>
        <v>63.96</v>
      </c>
      <c r="C40" s="9" t="n">
        <f aca="false">BasisAssumed</f>
        <v>-1.5</v>
      </c>
      <c r="D40" s="9" t="n">
        <f aca="false">B40+C40</f>
        <v>62.46</v>
      </c>
      <c r="E40" s="11" t="n">
        <f aca="false">ProdForecast</f>
        <v>50000</v>
      </c>
      <c r="F40" s="11" t="n">
        <f aca="false">E40*ActualPct</f>
        <v>46000</v>
      </c>
      <c r="G40" s="29" t="n">
        <f aca="false">HedgePct</f>
        <v>0.85</v>
      </c>
      <c r="H40" s="11" t="n">
        <f aca="false">E40*G40</f>
        <v>42500</v>
      </c>
      <c r="I40" s="11" t="n">
        <f aca="false">MAX(H40-F40,0)</f>
        <v>0</v>
      </c>
      <c r="J40" s="10" t="n">
        <f aca="false">F40*D40</f>
        <v>2873160</v>
      </c>
      <c r="K40" s="10" t="n">
        <f aca="false">J40</f>
        <v>2873160</v>
      </c>
      <c r="L40" s="10" t="n">
        <f aca="false">H40*(SwapPrice-B40)</f>
        <v>469200</v>
      </c>
      <c r="M40" s="10" t="n">
        <f aca="false">J40+L40</f>
        <v>3342360</v>
      </c>
      <c r="N40" s="10" t="n">
        <f aca="false">H40*(BasisLocked-C40)</f>
        <v>0</v>
      </c>
      <c r="O40" s="10" t="n">
        <f aca="false">J40+L40+N40</f>
        <v>3342360</v>
      </c>
      <c r="P40" s="9" t="n">
        <f aca="false">IF(F40=0,0,K40/F40)</f>
        <v>62.46</v>
      </c>
      <c r="Q40" s="9" t="n">
        <f aca="false">IF(F40=0,0,M40/F40)</f>
        <v>72.66</v>
      </c>
      <c r="R40" s="9" t="n">
        <f aca="false">IF(F40=0,0,O40/F40)</f>
        <v>72.66</v>
      </c>
    </row>
    <row r="41" customFormat="false" ht="15" hidden="false" customHeight="false" outlineLevel="0" collapsed="false">
      <c r="A41" s="24" t="n">
        <f aca="false">EDATE($A$14,27)</f>
        <v>45931</v>
      </c>
      <c r="B41" s="9" t="n">
        <f aca="false">INDEX('Historical WTI Data'!$B$15:$B$500,MATCH(A41,'Historical WTI Data'!$A$15:$A$500,0))</f>
        <v>60.89</v>
      </c>
      <c r="C41" s="9" t="n">
        <f aca="false">BasisAssumed</f>
        <v>-1.5</v>
      </c>
      <c r="D41" s="9" t="n">
        <f aca="false">B41+C41</f>
        <v>59.39</v>
      </c>
      <c r="E41" s="11" t="n">
        <f aca="false">ProdForecast</f>
        <v>50000</v>
      </c>
      <c r="F41" s="11" t="n">
        <f aca="false">E41*ActualPct</f>
        <v>46000</v>
      </c>
      <c r="G41" s="29" t="n">
        <f aca="false">HedgePct</f>
        <v>0.85</v>
      </c>
      <c r="H41" s="11" t="n">
        <f aca="false">E41*G41</f>
        <v>42500</v>
      </c>
      <c r="I41" s="11" t="n">
        <f aca="false">MAX(H41-F41,0)</f>
        <v>0</v>
      </c>
      <c r="J41" s="10" t="n">
        <f aca="false">F41*D41</f>
        <v>2731940</v>
      </c>
      <c r="K41" s="10" t="n">
        <f aca="false">J41</f>
        <v>2731940</v>
      </c>
      <c r="L41" s="10" t="n">
        <f aca="false">H41*(SwapPrice-B41)</f>
        <v>599675</v>
      </c>
      <c r="M41" s="10" t="n">
        <f aca="false">J41+L41</f>
        <v>3331615</v>
      </c>
      <c r="N41" s="10" t="n">
        <f aca="false">H41*(BasisLocked-C41)</f>
        <v>0</v>
      </c>
      <c r="O41" s="10" t="n">
        <f aca="false">J41+L41+N41</f>
        <v>3331615</v>
      </c>
      <c r="P41" s="9" t="n">
        <f aca="false">IF(F41=0,0,K41/F41)</f>
        <v>59.39</v>
      </c>
      <c r="Q41" s="9" t="n">
        <f aca="false">IF(F41=0,0,M41/F41)</f>
        <v>72.4264130434783</v>
      </c>
      <c r="R41" s="9" t="n">
        <f aca="false">IF(F41=0,0,O41/F41)</f>
        <v>72.4264130434783</v>
      </c>
    </row>
    <row r="42" customFormat="false" ht="15" hidden="false" customHeight="false" outlineLevel="0" collapsed="false">
      <c r="A42" s="24" t="n">
        <f aca="false">EDATE($A$14,28)</f>
        <v>45962</v>
      </c>
      <c r="B42" s="9" t="n">
        <f aca="false">INDEX('Historical WTI Data'!$B$15:$B$500,MATCH(A42,'Historical WTI Data'!$A$15:$A$500,0))</f>
        <v>60.06</v>
      </c>
      <c r="C42" s="9" t="n">
        <f aca="false">BasisAssumed</f>
        <v>-1.5</v>
      </c>
      <c r="D42" s="9" t="n">
        <f aca="false">B42+C42</f>
        <v>58.56</v>
      </c>
      <c r="E42" s="11" t="n">
        <f aca="false">ProdForecast</f>
        <v>50000</v>
      </c>
      <c r="F42" s="11" t="n">
        <f aca="false">E42*ActualPct</f>
        <v>46000</v>
      </c>
      <c r="G42" s="29" t="n">
        <f aca="false">HedgePct</f>
        <v>0.85</v>
      </c>
      <c r="H42" s="11" t="n">
        <f aca="false">E42*G42</f>
        <v>42500</v>
      </c>
      <c r="I42" s="11" t="n">
        <f aca="false">MAX(H42-F42,0)</f>
        <v>0</v>
      </c>
      <c r="J42" s="10" t="n">
        <f aca="false">F42*D42</f>
        <v>2693760</v>
      </c>
      <c r="K42" s="10" t="n">
        <f aca="false">J42</f>
        <v>2693760</v>
      </c>
      <c r="L42" s="10" t="n">
        <f aca="false">H42*(SwapPrice-B42)</f>
        <v>634950</v>
      </c>
      <c r="M42" s="10" t="n">
        <f aca="false">J42+L42</f>
        <v>3328710</v>
      </c>
      <c r="N42" s="10" t="n">
        <f aca="false">H42*(BasisLocked-C42)</f>
        <v>0</v>
      </c>
      <c r="O42" s="10" t="n">
        <f aca="false">J42+L42+N42</f>
        <v>3328710</v>
      </c>
      <c r="P42" s="9" t="n">
        <f aca="false">IF(F42=0,0,K42/F42)</f>
        <v>58.56</v>
      </c>
      <c r="Q42" s="9" t="n">
        <f aca="false">IF(F42=0,0,M42/F42)</f>
        <v>72.3632608695652</v>
      </c>
      <c r="R42" s="9" t="n">
        <f aca="false">IF(F42=0,0,O42/F42)</f>
        <v>72.3632608695652</v>
      </c>
    </row>
    <row r="43" customFormat="false" ht="15" hidden="false" customHeight="false" outlineLevel="0" collapsed="false">
      <c r="A43" s="24" t="n">
        <f aca="false">EDATE($A$14,29)</f>
        <v>45992</v>
      </c>
      <c r="B43" s="9" t="n">
        <f aca="false">INDEX('Historical WTI Data'!$B$15:$B$500,MATCH(A43,'Historical WTI Data'!$A$15:$A$500,0))</f>
        <v>57.97</v>
      </c>
      <c r="C43" s="9" t="n">
        <f aca="false">BasisAssumed</f>
        <v>-1.5</v>
      </c>
      <c r="D43" s="9" t="n">
        <f aca="false">B43+C43</f>
        <v>56.47</v>
      </c>
      <c r="E43" s="11" t="n">
        <f aca="false">ProdForecast</f>
        <v>50000</v>
      </c>
      <c r="F43" s="11" t="n">
        <f aca="false">E43*ActualPct</f>
        <v>46000</v>
      </c>
      <c r="G43" s="29" t="n">
        <f aca="false">HedgePct</f>
        <v>0.85</v>
      </c>
      <c r="H43" s="11" t="n">
        <f aca="false">E43*G43</f>
        <v>42500</v>
      </c>
      <c r="I43" s="11" t="n">
        <f aca="false">MAX(H43-F43,0)</f>
        <v>0</v>
      </c>
      <c r="J43" s="10" t="n">
        <f aca="false">F43*D43</f>
        <v>2597620</v>
      </c>
      <c r="K43" s="10" t="n">
        <f aca="false">J43</f>
        <v>2597620</v>
      </c>
      <c r="L43" s="10" t="n">
        <f aca="false">H43*(SwapPrice-B43)</f>
        <v>723775</v>
      </c>
      <c r="M43" s="10" t="n">
        <f aca="false">J43+L43</f>
        <v>3321395</v>
      </c>
      <c r="N43" s="10" t="n">
        <f aca="false">H43*(BasisLocked-C43)</f>
        <v>0</v>
      </c>
      <c r="O43" s="10" t="n">
        <f aca="false">J43+L43+N43</f>
        <v>3321395</v>
      </c>
      <c r="P43" s="9" t="n">
        <f aca="false">IF(F43=0,0,K43/F43)</f>
        <v>56.47</v>
      </c>
      <c r="Q43" s="9" t="n">
        <f aca="false">IF(F43=0,0,M43/F43)</f>
        <v>72.2042391304348</v>
      </c>
      <c r="R43" s="9" t="n">
        <f aca="false">IF(F43=0,0,O43/F43)</f>
        <v>72.2042391304348</v>
      </c>
    </row>
    <row r="44" customFormat="false" ht="15" hidden="false" customHeight="false" outlineLevel="0" collapsed="false">
      <c r="A44" s="24" t="n">
        <f aca="false">EDATE($A$14,30)</f>
        <v>46023</v>
      </c>
      <c r="B44" s="9" t="n">
        <f aca="false">INDEX('Historical WTI Data'!$B$15:$B$500,MATCH(A44,'Historical WTI Data'!$A$15:$A$500,0))</f>
        <v>60.04</v>
      </c>
      <c r="C44" s="9" t="n">
        <f aca="false">BasisAssumed</f>
        <v>-1.5</v>
      </c>
      <c r="D44" s="9" t="n">
        <f aca="false">B44+C44</f>
        <v>58.54</v>
      </c>
      <c r="E44" s="11" t="n">
        <f aca="false">ProdForecast</f>
        <v>50000</v>
      </c>
      <c r="F44" s="11" t="n">
        <f aca="false">E44*ActualPct</f>
        <v>46000</v>
      </c>
      <c r="G44" s="29" t="n">
        <f aca="false">HedgePct</f>
        <v>0.85</v>
      </c>
      <c r="H44" s="11" t="n">
        <f aca="false">E44*G44</f>
        <v>42500</v>
      </c>
      <c r="I44" s="11" t="n">
        <f aca="false">MAX(H44-F44,0)</f>
        <v>0</v>
      </c>
      <c r="J44" s="10" t="n">
        <f aca="false">F44*D44</f>
        <v>2692840</v>
      </c>
      <c r="K44" s="10" t="n">
        <f aca="false">J44</f>
        <v>2692840</v>
      </c>
      <c r="L44" s="10" t="n">
        <f aca="false">H44*(SwapPrice-B44)</f>
        <v>635800</v>
      </c>
      <c r="M44" s="10" t="n">
        <f aca="false">J44+L44</f>
        <v>3328640</v>
      </c>
      <c r="N44" s="10" t="n">
        <f aca="false">H44*(BasisLocked-C44)</f>
        <v>0</v>
      </c>
      <c r="O44" s="10" t="n">
        <f aca="false">J44+L44+N44</f>
        <v>3328640</v>
      </c>
      <c r="P44" s="9" t="n">
        <f aca="false">IF(F44=0,0,K44/F44)</f>
        <v>58.54</v>
      </c>
      <c r="Q44" s="9" t="n">
        <f aca="false">IF(F44=0,0,M44/F44)</f>
        <v>72.3617391304348</v>
      </c>
      <c r="R44" s="9" t="n">
        <f aca="false">IF(F44=0,0,O44/F44)</f>
        <v>72.3617391304348</v>
      </c>
    </row>
    <row r="45" customFormat="false" ht="15" hidden="false" customHeight="false" outlineLevel="0" collapsed="false">
      <c r="A45" s="24" t="n">
        <f aca="false">EDATE($A$14,31)</f>
        <v>46054</v>
      </c>
      <c r="B45" s="9" t="n">
        <f aca="false">INDEX('Historical WTI Data'!$B$15:$B$500,MATCH(A45,'Historical WTI Data'!$A$15:$A$500,0))</f>
        <v>64.51</v>
      </c>
      <c r="C45" s="9" t="n">
        <f aca="false">BasisAssumed</f>
        <v>-1.5</v>
      </c>
      <c r="D45" s="9" t="n">
        <f aca="false">B45+C45</f>
        <v>63.01</v>
      </c>
      <c r="E45" s="11" t="n">
        <f aca="false">ProdForecast</f>
        <v>50000</v>
      </c>
      <c r="F45" s="11" t="n">
        <f aca="false">E45*ActualPct</f>
        <v>46000</v>
      </c>
      <c r="G45" s="29" t="n">
        <f aca="false">HedgePct</f>
        <v>0.85</v>
      </c>
      <c r="H45" s="11" t="n">
        <f aca="false">E45*G45</f>
        <v>42500</v>
      </c>
      <c r="I45" s="11" t="n">
        <f aca="false">MAX(H45-F45,0)</f>
        <v>0</v>
      </c>
      <c r="J45" s="10" t="n">
        <f aca="false">F45*D45</f>
        <v>2898460</v>
      </c>
      <c r="K45" s="10" t="n">
        <f aca="false">J45</f>
        <v>2898460</v>
      </c>
      <c r="L45" s="10" t="n">
        <f aca="false">H45*(SwapPrice-B45)</f>
        <v>445825</v>
      </c>
      <c r="M45" s="10" t="n">
        <f aca="false">J45+L45</f>
        <v>3344285</v>
      </c>
      <c r="N45" s="10" t="n">
        <f aca="false">H45*(BasisLocked-C45)</f>
        <v>0</v>
      </c>
      <c r="O45" s="10" t="n">
        <f aca="false">J45+L45+N45</f>
        <v>3344285</v>
      </c>
      <c r="P45" s="9" t="n">
        <f aca="false">IF(F45=0,0,K45/F45)</f>
        <v>63.01</v>
      </c>
      <c r="Q45" s="9" t="n">
        <f aca="false">IF(F45=0,0,M45/F45)</f>
        <v>72.701847826087</v>
      </c>
      <c r="R45" s="9" t="n">
        <f aca="false">IF(F45=0,0,O45/F45)</f>
        <v>72.701847826087</v>
      </c>
    </row>
    <row r="46" customFormat="false" ht="15" hidden="false" customHeight="false" outlineLevel="0" collapsed="false">
      <c r="A46" s="24" t="n">
        <f aca="false">EDATE($A$14,32)</f>
        <v>46082</v>
      </c>
      <c r="B46" s="9" t="n">
        <f aca="false">INDEX('Historical WTI Data'!$B$15:$B$500,MATCH(A46,'Historical WTI Data'!$A$15:$A$500,0))</f>
        <v>91.38</v>
      </c>
      <c r="C46" s="9" t="n">
        <f aca="false">BasisAssumed</f>
        <v>-1.5</v>
      </c>
      <c r="D46" s="9" t="n">
        <f aca="false">B46+C46</f>
        <v>89.88</v>
      </c>
      <c r="E46" s="11" t="n">
        <f aca="false">ProdForecast</f>
        <v>50000</v>
      </c>
      <c r="F46" s="11" t="n">
        <f aca="false">E46*ActualPct</f>
        <v>46000</v>
      </c>
      <c r="G46" s="29" t="n">
        <f aca="false">HedgePct</f>
        <v>0.85</v>
      </c>
      <c r="H46" s="11" t="n">
        <f aca="false">E46*G46</f>
        <v>42500</v>
      </c>
      <c r="I46" s="11" t="n">
        <f aca="false">MAX(H46-F46,0)</f>
        <v>0</v>
      </c>
      <c r="J46" s="10" t="n">
        <f aca="false">F46*D46</f>
        <v>4134480</v>
      </c>
      <c r="K46" s="10" t="n">
        <f aca="false">J46</f>
        <v>4134480</v>
      </c>
      <c r="L46" s="10" t="n">
        <f aca="false">H46*(SwapPrice-B46)</f>
        <v>-696150</v>
      </c>
      <c r="M46" s="10" t="n">
        <f aca="false">J46+L46</f>
        <v>3438330</v>
      </c>
      <c r="N46" s="10" t="n">
        <f aca="false">H46*(BasisLocked-C46)</f>
        <v>0</v>
      </c>
      <c r="O46" s="10" t="n">
        <f aca="false">J46+L46+N46</f>
        <v>3438330</v>
      </c>
      <c r="P46" s="9" t="n">
        <f aca="false">IF(F46=0,0,K46/F46)</f>
        <v>89.88</v>
      </c>
      <c r="Q46" s="9" t="n">
        <f aca="false">IF(F46=0,0,M46/F46)</f>
        <v>74.7463043478261</v>
      </c>
      <c r="R46" s="9" t="n">
        <f aca="false">IF(F46=0,0,O46/F46)</f>
        <v>74.7463043478261</v>
      </c>
    </row>
    <row r="47" customFormat="false" ht="15" hidden="false" customHeight="false" outlineLevel="0" collapsed="false">
      <c r="A47" s="24" t="n">
        <f aca="false">EDATE($A$14,33)</f>
        <v>46113</v>
      </c>
      <c r="B47" s="9" t="n">
        <f aca="false">INDEX('Historical WTI Data'!$B$15:$B$500,MATCH(A47,'Historical WTI Data'!$A$15:$A$500,0))</f>
        <v>100.32</v>
      </c>
      <c r="C47" s="9" t="n">
        <f aca="false">BasisAssumed</f>
        <v>-1.5</v>
      </c>
      <c r="D47" s="9" t="n">
        <f aca="false">B47+C47</f>
        <v>98.82</v>
      </c>
      <c r="E47" s="11" t="n">
        <f aca="false">ProdForecast</f>
        <v>50000</v>
      </c>
      <c r="F47" s="11" t="n">
        <f aca="false">E47*ActualPct</f>
        <v>46000</v>
      </c>
      <c r="G47" s="29" t="n">
        <f aca="false">HedgePct</f>
        <v>0.85</v>
      </c>
      <c r="H47" s="11" t="n">
        <f aca="false">E47*G47</f>
        <v>42500</v>
      </c>
      <c r="I47" s="11" t="n">
        <f aca="false">MAX(H47-F47,0)</f>
        <v>0</v>
      </c>
      <c r="J47" s="10" t="n">
        <f aca="false">F47*D47</f>
        <v>4545720</v>
      </c>
      <c r="K47" s="10" t="n">
        <f aca="false">J47</f>
        <v>4545720</v>
      </c>
      <c r="L47" s="10" t="n">
        <f aca="false">H47*(SwapPrice-B47)</f>
        <v>-1076100</v>
      </c>
      <c r="M47" s="10" t="n">
        <f aca="false">J47+L47</f>
        <v>3469620</v>
      </c>
      <c r="N47" s="10" t="n">
        <f aca="false">H47*(BasisLocked-C47)</f>
        <v>0</v>
      </c>
      <c r="O47" s="10" t="n">
        <f aca="false">J47+L47+N47</f>
        <v>3469620</v>
      </c>
      <c r="P47" s="9" t="n">
        <f aca="false">IF(F47=0,0,K47/F47)</f>
        <v>98.82</v>
      </c>
      <c r="Q47" s="9" t="n">
        <f aca="false">IF(F47=0,0,M47/F47)</f>
        <v>75.4265217391304</v>
      </c>
      <c r="R47" s="9" t="n">
        <f aca="false">IF(F47=0,0,O47/F47)</f>
        <v>75.4265217391304</v>
      </c>
    </row>
    <row r="48" customFormat="false" ht="15" hidden="false" customHeight="false" outlineLevel="0" collapsed="false">
      <c r="A48" s="24" t="n">
        <f aca="false">EDATE($A$14,34)</f>
        <v>46143</v>
      </c>
      <c r="B48" s="9" t="n">
        <f aca="false">INDEX('Historical WTI Data'!$B$15:$B$500,MATCH(A48,'Historical WTI Data'!$A$15:$A$500,0))</f>
        <v>102.13</v>
      </c>
      <c r="C48" s="9" t="n">
        <f aca="false">BasisAssumed</f>
        <v>-1.5</v>
      </c>
      <c r="D48" s="9" t="n">
        <f aca="false">B48+C48</f>
        <v>100.63</v>
      </c>
      <c r="E48" s="11" t="n">
        <f aca="false">ProdForecast</f>
        <v>50000</v>
      </c>
      <c r="F48" s="11" t="n">
        <f aca="false">E48*ActualPct</f>
        <v>46000</v>
      </c>
      <c r="G48" s="29" t="n">
        <f aca="false">HedgePct</f>
        <v>0.85</v>
      </c>
      <c r="H48" s="11" t="n">
        <f aca="false">E48*G48</f>
        <v>42500</v>
      </c>
      <c r="I48" s="11" t="n">
        <f aca="false">MAX(H48-F48,0)</f>
        <v>0</v>
      </c>
      <c r="J48" s="10" t="n">
        <f aca="false">F48*D48</f>
        <v>4628980</v>
      </c>
      <c r="K48" s="10" t="n">
        <f aca="false">J48</f>
        <v>4628980</v>
      </c>
      <c r="L48" s="10" t="n">
        <f aca="false">H48*(SwapPrice-B48)</f>
        <v>-1153025</v>
      </c>
      <c r="M48" s="10" t="n">
        <f aca="false">J48+L48</f>
        <v>3475955</v>
      </c>
      <c r="N48" s="10" t="n">
        <f aca="false">H48*(BasisLocked-C48)</f>
        <v>0</v>
      </c>
      <c r="O48" s="10" t="n">
        <f aca="false">J48+L48+N48</f>
        <v>3475955</v>
      </c>
      <c r="P48" s="9" t="n">
        <f aca="false">IF(F48=0,0,K48/F48)</f>
        <v>100.63</v>
      </c>
      <c r="Q48" s="9" t="n">
        <f aca="false">IF(F48=0,0,M48/F48)</f>
        <v>75.5642391304348</v>
      </c>
      <c r="R48" s="9" t="n">
        <f aca="false">IF(F48=0,0,O48/F48)</f>
        <v>75.5642391304348</v>
      </c>
    </row>
    <row r="49" customFormat="false" ht="15" hidden="false" customHeight="false" outlineLevel="0" collapsed="false">
      <c r="A49" s="24" t="n">
        <f aca="false">EDATE($A$14,35)</f>
        <v>46174</v>
      </c>
      <c r="B49" s="9" t="n">
        <f aca="false">INDEX('Historical WTI Data'!$B$15:$B$500,MATCH(A49,'Historical WTI Data'!$A$15:$A$500,0))</f>
        <v>84.81</v>
      </c>
      <c r="C49" s="9" t="n">
        <f aca="false">BasisAssumed</f>
        <v>-1.5</v>
      </c>
      <c r="D49" s="9" t="n">
        <f aca="false">B49+C49</f>
        <v>83.31</v>
      </c>
      <c r="E49" s="11" t="n">
        <f aca="false">ProdForecast</f>
        <v>50000</v>
      </c>
      <c r="F49" s="11" t="n">
        <f aca="false">E49*ActualPct</f>
        <v>46000</v>
      </c>
      <c r="G49" s="29" t="n">
        <f aca="false">HedgePct</f>
        <v>0.85</v>
      </c>
      <c r="H49" s="11" t="n">
        <f aca="false">E49*G49</f>
        <v>42500</v>
      </c>
      <c r="I49" s="11" t="n">
        <f aca="false">MAX(H49-F49,0)</f>
        <v>0</v>
      </c>
      <c r="J49" s="10" t="n">
        <f aca="false">F49*D49</f>
        <v>3832260</v>
      </c>
      <c r="K49" s="10" t="n">
        <f aca="false">J49</f>
        <v>3832260</v>
      </c>
      <c r="L49" s="10" t="n">
        <f aca="false">H49*(SwapPrice-B49)</f>
        <v>-416925</v>
      </c>
      <c r="M49" s="10" t="n">
        <f aca="false">J49+L49</f>
        <v>3415335</v>
      </c>
      <c r="N49" s="10" t="n">
        <f aca="false">H49*(BasisLocked-C49)</f>
        <v>0</v>
      </c>
      <c r="O49" s="10" t="n">
        <f aca="false">J49+L49+N49</f>
        <v>3415335</v>
      </c>
      <c r="P49" s="9" t="n">
        <f aca="false">IF(F49=0,0,K49/F49)</f>
        <v>83.31</v>
      </c>
      <c r="Q49" s="9" t="n">
        <f aca="false">IF(F49=0,0,M49/F49)</f>
        <v>74.2464130434783</v>
      </c>
      <c r="R49" s="9" t="n">
        <f aca="false">IF(F49=0,0,O49/F49)</f>
        <v>74.2464130434783</v>
      </c>
    </row>
  </sheetData>
  <autoFilter ref="A13:R49"/>
  <mergeCells count="3">
    <mergeCell ref="A1:H1"/>
    <mergeCell ref="A2:H2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E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5" min="3" style="0" width="22"/>
  </cols>
  <sheetData>
    <row r="1" customFormat="false" ht="19.7" hidden="false" customHeight="false" outlineLevel="0" collapsed="false">
      <c r="A1" s="1" t="s">
        <v>124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125</v>
      </c>
      <c r="B2" s="2"/>
      <c r="C2" s="2"/>
      <c r="D2" s="2"/>
      <c r="E2" s="2"/>
    </row>
    <row r="4" customFormat="false" ht="15" hidden="false" customHeight="false" outlineLevel="0" collapsed="false">
      <c r="A4" s="6" t="s">
        <v>126</v>
      </c>
      <c r="B4" s="6"/>
      <c r="C4" s="6"/>
      <c r="D4" s="6"/>
      <c r="E4" s="6"/>
    </row>
    <row r="5" customFormat="false" ht="15" hidden="false" customHeight="false" outlineLevel="0" collapsed="false">
      <c r="A5" s="17" t="s">
        <v>127</v>
      </c>
      <c r="B5" s="26" t="n">
        <f aca="false">AVERAGE('Hedge Calculations'!B14:B49)</f>
        <v>74.7063888888889</v>
      </c>
    </row>
    <row r="6" customFormat="false" ht="15" hidden="false" customHeight="false" outlineLevel="0" collapsed="false">
      <c r="A6" s="17" t="s">
        <v>128</v>
      </c>
      <c r="B6" s="26" t="n">
        <f aca="false">BasisAssumed</f>
        <v>-1.5</v>
      </c>
    </row>
    <row r="7" customFormat="false" ht="15" hidden="false" customHeight="false" outlineLevel="0" collapsed="false">
      <c r="A7" s="17" t="s">
        <v>129</v>
      </c>
      <c r="B7" s="30" t="n">
        <f aca="false">ActualPct</f>
        <v>0.92</v>
      </c>
    </row>
    <row r="9" customFormat="false" ht="23.85" hidden="false" customHeight="false" outlineLevel="0" collapsed="false">
      <c r="A9" s="7" t="s">
        <v>99</v>
      </c>
      <c r="B9" s="7" t="s">
        <v>130</v>
      </c>
      <c r="C9" s="7" t="s">
        <v>131</v>
      </c>
      <c r="D9" s="7" t="s">
        <v>132</v>
      </c>
      <c r="E9" s="7" t="s">
        <v>133</v>
      </c>
    </row>
    <row r="10" customFormat="false" ht="15" hidden="false" customHeight="false" outlineLevel="0" collapsed="false">
      <c r="A10" s="17" t="s">
        <v>134</v>
      </c>
      <c r="B10" s="9" t="n">
        <f aca="false">$B$5</f>
        <v>74.7063888888889</v>
      </c>
      <c r="C10" s="9" t="n">
        <f aca="false">$B$5-15</f>
        <v>59.7063888888889</v>
      </c>
      <c r="D10" s="9" t="n">
        <f aca="false">$B$5</f>
        <v>74.7063888888889</v>
      </c>
      <c r="E10" s="9" t="n">
        <f aca="false">$B$5</f>
        <v>74.7063888888889</v>
      </c>
    </row>
    <row r="11" customFormat="false" ht="15" hidden="false" customHeight="false" outlineLevel="0" collapsed="false">
      <c r="A11" s="17" t="s">
        <v>135</v>
      </c>
      <c r="B11" s="9" t="n">
        <f aca="false">$B$6</f>
        <v>-1.5</v>
      </c>
      <c r="C11" s="9" t="n">
        <f aca="false">$B$6</f>
        <v>-1.5</v>
      </c>
      <c r="D11" s="9" t="n">
        <f aca="false">$B$6-5</f>
        <v>-6.5</v>
      </c>
      <c r="E11" s="9" t="n">
        <f aca="false">$B$6</f>
        <v>-1.5</v>
      </c>
    </row>
    <row r="12" customFormat="false" ht="15" hidden="false" customHeight="false" outlineLevel="0" collapsed="false">
      <c r="A12" s="17" t="s">
        <v>41</v>
      </c>
      <c r="B12" s="29" t="n">
        <f aca="false">$B$7</f>
        <v>0.92</v>
      </c>
      <c r="C12" s="29" t="n">
        <f aca="false">$B$7</f>
        <v>0.92</v>
      </c>
      <c r="D12" s="29" t="n">
        <f aca="false">$B$7</f>
        <v>0.92</v>
      </c>
      <c r="E12" s="29" t="n">
        <v>0.8</v>
      </c>
    </row>
    <row r="13" customFormat="false" ht="15" hidden="false" customHeight="false" outlineLevel="0" collapsed="false">
      <c r="A13" s="17" t="s">
        <v>136</v>
      </c>
      <c r="B13" s="9" t="n">
        <f aca="false">B10+B11</f>
        <v>73.2063888888889</v>
      </c>
      <c r="C13" s="9" t="n">
        <f aca="false">C10+C11</f>
        <v>58.2063888888889</v>
      </c>
      <c r="D13" s="9" t="n">
        <f aca="false">D10+D11</f>
        <v>68.2063888888889</v>
      </c>
      <c r="E13" s="9" t="n">
        <f aca="false">E10+E11</f>
        <v>73.2063888888889</v>
      </c>
    </row>
    <row r="14" customFormat="false" ht="15" hidden="false" customHeight="false" outlineLevel="0" collapsed="false">
      <c r="A14" s="17" t="s">
        <v>137</v>
      </c>
      <c r="B14" s="11" t="n">
        <f aca="false">ProdForecast*B12</f>
        <v>46000</v>
      </c>
      <c r="C14" s="11" t="n">
        <f aca="false">ProdForecast*C12</f>
        <v>46000</v>
      </c>
      <c r="D14" s="11" t="n">
        <f aca="false">ProdForecast*D12</f>
        <v>46000</v>
      </c>
      <c r="E14" s="11" t="n">
        <f aca="false">ProdForecast*E12</f>
        <v>40000</v>
      </c>
    </row>
    <row r="15" customFormat="false" ht="15" hidden="false" customHeight="false" outlineLevel="0" collapsed="false">
      <c r="A15" s="17" t="s">
        <v>138</v>
      </c>
      <c r="B15" s="11" t="n">
        <f aca="false">ProdForecast*HedgePct</f>
        <v>42500</v>
      </c>
      <c r="C15" s="11" t="n">
        <f aca="false">ProdForecast*HedgePct</f>
        <v>42500</v>
      </c>
      <c r="D15" s="11" t="n">
        <f aca="false">ProdForecast*HedgePct</f>
        <v>42500</v>
      </c>
      <c r="E15" s="11" t="n">
        <f aca="false">ProdForecast*HedgePct</f>
        <v>42500</v>
      </c>
    </row>
    <row r="16" customFormat="false" ht="15" hidden="false" customHeight="false" outlineLevel="0" collapsed="false">
      <c r="A16" s="17" t="s">
        <v>139</v>
      </c>
      <c r="B16" s="11" t="n">
        <f aca="false">MAX(B15-B14,0)</f>
        <v>0</v>
      </c>
      <c r="C16" s="11" t="n">
        <f aca="false">MAX(C15-C14,0)</f>
        <v>0</v>
      </c>
      <c r="D16" s="11" t="n">
        <f aca="false">MAX(D15-D14,0)</f>
        <v>0</v>
      </c>
      <c r="E16" s="11" t="n">
        <f aca="false">MAX(E15-E14,0)</f>
        <v>2500</v>
      </c>
    </row>
    <row r="17" customFormat="false" ht="15" hidden="false" customHeight="false" outlineLevel="0" collapsed="false">
      <c r="A17" s="17" t="s">
        <v>140</v>
      </c>
      <c r="B17" s="10" t="n">
        <f aca="false">B14*B13</f>
        <v>3367493.88888889</v>
      </c>
      <c r="C17" s="10" t="n">
        <f aca="false">C14*C13</f>
        <v>2677493.88888889</v>
      </c>
      <c r="D17" s="10" t="n">
        <f aca="false">D14*D13</f>
        <v>3137493.88888889</v>
      </c>
      <c r="E17" s="10" t="n">
        <f aca="false">E14*E13</f>
        <v>2928255.55555556</v>
      </c>
    </row>
    <row r="18" customFormat="false" ht="15" hidden="false" customHeight="false" outlineLevel="0" collapsed="false">
      <c r="A18" s="17" t="s">
        <v>141</v>
      </c>
      <c r="B18" s="10" t="n">
        <f aca="false">B15*(SwapPrice-B10)</f>
        <v>12478.4722222226</v>
      </c>
      <c r="C18" s="10" t="n">
        <f aca="false">C15*(SwapPrice-C10)</f>
        <v>649978.472222223</v>
      </c>
      <c r="D18" s="10" t="n">
        <f aca="false">D15*(SwapPrice-D10)</f>
        <v>12478.4722222226</v>
      </c>
      <c r="E18" s="10" t="n">
        <f aca="false">E15*(SwapPrice-E10)</f>
        <v>12478.4722222226</v>
      </c>
    </row>
    <row r="19" customFormat="false" ht="15" hidden="false" customHeight="false" outlineLevel="0" collapsed="false">
      <c r="A19" s="17" t="s">
        <v>142</v>
      </c>
      <c r="B19" s="10" t="n">
        <f aca="false">B15*(BasisLocked-B11)</f>
        <v>0</v>
      </c>
      <c r="C19" s="10" t="n">
        <f aca="false">C15*(BasisLocked-C11)</f>
        <v>0</v>
      </c>
      <c r="D19" s="10" t="n">
        <f aca="false">D15*(BasisLocked-D11)</f>
        <v>212500</v>
      </c>
      <c r="E19" s="10" t="n">
        <f aca="false">E15*(BasisLocked-E11)</f>
        <v>0</v>
      </c>
    </row>
    <row r="20" customFormat="false" ht="15" hidden="false" customHeight="false" outlineLevel="0" collapsed="false">
      <c r="A20" s="17" t="s">
        <v>143</v>
      </c>
      <c r="B20" s="10" t="n">
        <f aca="false">B17</f>
        <v>3367493.88888889</v>
      </c>
      <c r="C20" s="10" t="n">
        <f aca="false">C17</f>
        <v>2677493.88888889</v>
      </c>
      <c r="D20" s="10" t="n">
        <f aca="false">D17</f>
        <v>3137493.88888889</v>
      </c>
      <c r="E20" s="10" t="n">
        <f aca="false">E17</f>
        <v>2928255.55555556</v>
      </c>
    </row>
    <row r="21" customFormat="false" ht="15" hidden="false" customHeight="false" outlineLevel="0" collapsed="false">
      <c r="A21" s="17" t="s">
        <v>144</v>
      </c>
      <c r="B21" s="10" t="n">
        <f aca="false">B17+B18</f>
        <v>3379972.36111111</v>
      </c>
      <c r="C21" s="10" t="n">
        <f aca="false">C17+C18</f>
        <v>3327472.36111111</v>
      </c>
      <c r="D21" s="10" t="n">
        <f aca="false">D17+D18</f>
        <v>3149972.36111111</v>
      </c>
      <c r="E21" s="10" t="n">
        <f aca="false">E17+E18</f>
        <v>2940734.02777778</v>
      </c>
    </row>
    <row r="22" customFormat="false" ht="15" hidden="false" customHeight="false" outlineLevel="0" collapsed="false">
      <c r="A22" s="17" t="s">
        <v>145</v>
      </c>
      <c r="B22" s="10" t="n">
        <f aca="false">B17+B18+B19</f>
        <v>3379972.36111111</v>
      </c>
      <c r="C22" s="10" t="n">
        <f aca="false">C17+C18+C19</f>
        <v>3327472.36111111</v>
      </c>
      <c r="D22" s="10" t="n">
        <f aca="false">D17+D18+D19</f>
        <v>3362472.36111111</v>
      </c>
      <c r="E22" s="10" t="n">
        <f aca="false">E17+E18+E19</f>
        <v>2940734.02777778</v>
      </c>
    </row>
    <row r="23" customFormat="false" ht="15" hidden="false" customHeight="false" outlineLevel="0" collapsed="false">
      <c r="A23" s="17" t="s">
        <v>146</v>
      </c>
      <c r="B23" s="9" t="n">
        <f aca="false">IF(B14=0,0,B20/B14)</f>
        <v>73.2063888888889</v>
      </c>
      <c r="C23" s="9" t="n">
        <f aca="false">IF(C14=0,0,C20/C14)</f>
        <v>58.2063888888889</v>
      </c>
      <c r="D23" s="9" t="n">
        <f aca="false">IF(D14=0,0,D20/D14)</f>
        <v>68.2063888888889</v>
      </c>
      <c r="E23" s="9" t="n">
        <f aca="false">IF(E14=0,0,E20/E14)</f>
        <v>73.2063888888889</v>
      </c>
    </row>
    <row r="24" customFormat="false" ht="15" hidden="false" customHeight="false" outlineLevel="0" collapsed="false">
      <c r="A24" s="17" t="s">
        <v>147</v>
      </c>
      <c r="B24" s="9" t="n">
        <f aca="false">IF(B14=0,0,B21/B14)</f>
        <v>73.4776600241546</v>
      </c>
      <c r="C24" s="9" t="n">
        <f aca="false">IF(C14=0,0,C21/C14)</f>
        <v>72.3363556763285</v>
      </c>
      <c r="D24" s="9" t="n">
        <f aca="false">IF(D14=0,0,D21/D14)</f>
        <v>68.4776600241546</v>
      </c>
      <c r="E24" s="9" t="n">
        <f aca="false">IF(E14=0,0,E21/E14)</f>
        <v>73.5183506944444</v>
      </c>
    </row>
    <row r="25" customFormat="false" ht="15" hidden="false" customHeight="false" outlineLevel="0" collapsed="false">
      <c r="A25" s="17" t="s">
        <v>148</v>
      </c>
      <c r="B25" s="9" t="n">
        <f aca="false">IF(B14=0,0,B22/B14)</f>
        <v>73.4776600241546</v>
      </c>
      <c r="C25" s="9" t="n">
        <f aca="false">IF(C14=0,0,C22/C14)</f>
        <v>72.3363556763285</v>
      </c>
      <c r="D25" s="9" t="n">
        <f aca="false">IF(D14=0,0,D22/D14)</f>
        <v>73.0972252415459</v>
      </c>
      <c r="E25" s="9" t="n">
        <f aca="false">IF(E14=0,0,E22/E14)</f>
        <v>73.5183506944444</v>
      </c>
    </row>
    <row r="27" customFormat="false" ht="15" hidden="false" customHeight="false" outlineLevel="0" collapsed="false">
      <c r="A27" s="6" t="s">
        <v>149</v>
      </c>
      <c r="B27" s="6"/>
      <c r="C27" s="6"/>
      <c r="D27" s="6"/>
      <c r="E27" s="6"/>
    </row>
    <row r="28" customFormat="false" ht="15" hidden="false" customHeight="false" outlineLevel="0" collapsed="false">
      <c r="A28" s="7" t="s">
        <v>99</v>
      </c>
      <c r="B28" s="31" t="s">
        <v>130</v>
      </c>
      <c r="C28" s="31" t="s">
        <v>150</v>
      </c>
      <c r="D28" s="31" t="s">
        <v>151</v>
      </c>
      <c r="E28" s="31" t="s">
        <v>152</v>
      </c>
    </row>
    <row r="29" customFormat="false" ht="15" hidden="false" customHeight="false" outlineLevel="0" collapsed="false">
      <c r="A29" s="17" t="s">
        <v>153</v>
      </c>
      <c r="B29" s="10" t="n">
        <f aca="false">B20-$B$20</f>
        <v>0</v>
      </c>
      <c r="C29" s="10" t="n">
        <f aca="false">C20-$B$20</f>
        <v>-690000</v>
      </c>
      <c r="D29" s="10" t="n">
        <f aca="false">D20-$B$20</f>
        <v>-230000</v>
      </c>
      <c r="E29" s="10" t="n">
        <f aca="false">E20-$B$20</f>
        <v>-439238.333333334</v>
      </c>
    </row>
    <row r="30" customFormat="false" ht="15" hidden="false" customHeight="false" outlineLevel="0" collapsed="false">
      <c r="A30" s="17" t="s">
        <v>154</v>
      </c>
      <c r="B30" s="10" t="n">
        <f aca="false">B21-$B$21</f>
        <v>0</v>
      </c>
      <c r="C30" s="10" t="n">
        <f aca="false">C21-$B$21</f>
        <v>-52500</v>
      </c>
      <c r="D30" s="10" t="n">
        <f aca="false">D21-$B$21</f>
        <v>-230000</v>
      </c>
      <c r="E30" s="10" t="n">
        <f aca="false">E21-$B$21</f>
        <v>-439238.333333334</v>
      </c>
    </row>
    <row r="31" customFormat="false" ht="15" hidden="false" customHeight="false" outlineLevel="0" collapsed="false">
      <c r="A31" s="17" t="s">
        <v>155</v>
      </c>
      <c r="B31" s="10" t="n">
        <f aca="false">B22-$B$22</f>
        <v>0</v>
      </c>
      <c r="C31" s="10" t="n">
        <f aca="false">C22-$B$22</f>
        <v>-52500</v>
      </c>
      <c r="D31" s="10" t="n">
        <f aca="false">D22-$B$22</f>
        <v>-17500</v>
      </c>
      <c r="E31" s="10" t="n">
        <f aca="false">E22-$B$22</f>
        <v>-439238.333333334</v>
      </c>
    </row>
    <row r="33" customFormat="false" ht="27.75" hidden="false" customHeight="true" outlineLevel="0" collapsed="false">
      <c r="A33" s="32" t="s">
        <v>156</v>
      </c>
      <c r="B33" s="32"/>
      <c r="C33" s="32"/>
      <c r="D33" s="32"/>
      <c r="E33" s="32"/>
    </row>
    <row r="34" customFormat="false" ht="27.75" hidden="false" customHeight="true" outlineLevel="0" collapsed="false">
      <c r="A34" s="32" t="s">
        <v>157</v>
      </c>
      <c r="B34" s="32"/>
      <c r="C34" s="32"/>
      <c r="D34" s="32"/>
      <c r="E34" s="32"/>
    </row>
    <row r="35" customFormat="false" ht="27.75" hidden="false" customHeight="true" outlineLevel="0" collapsed="false">
      <c r="A35" s="32" t="s">
        <v>158</v>
      </c>
      <c r="B35" s="32"/>
      <c r="C35" s="32"/>
      <c r="D35" s="32"/>
      <c r="E35" s="32"/>
    </row>
  </sheetData>
  <mergeCells count="7">
    <mergeCell ref="A1:E1"/>
    <mergeCell ref="A2:E2"/>
    <mergeCell ref="A4:E4"/>
    <mergeCell ref="A27:E27"/>
    <mergeCell ref="A33:E33"/>
    <mergeCell ref="A34:E34"/>
    <mergeCell ref="A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2026-07-15T02:14:03Z</dcterms:created>
  <dc:creator>openpyxl</dc:creator>
  <dc:description/>
  <dc:language>en-US</dc:language>
  <cp:lastModifiedBy/>
  <dcterms:modified xsi:type="dcterms:W3CDTF">2026-07-14T21:14:05Z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